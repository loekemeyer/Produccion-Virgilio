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AAA COMERCIO EXTERIOR\1 - IMPORTACIONES\A0 Quiebre  de art importados\"/>
    </mc:Choice>
  </mc:AlternateContent>
  <xr:revisionPtr revIDLastSave="0" documentId="13_ncr:1_{247F1AFF-FD0D-4B97-90D5-1053DF0C40CB}" xr6:coauthVersionLast="47" xr6:coauthVersionMax="47" xr10:uidLastSave="{00000000-0000-0000-0000-000000000000}"/>
  <bookViews>
    <workbookView xWindow="-108" yWindow="-108" windowWidth="23256" windowHeight="12576" activeTab="1" xr2:uid="{37BB7DDB-F18C-4E87-98B7-367C54AF94CB}"/>
  </bookViews>
  <sheets>
    <sheet name="Quiebres" sheetId="3" r:id="rId1"/>
    <sheet name="Todos" sheetId="2" r:id="rId2"/>
    <sheet name="Stock Loeke" sheetId="4" r:id="rId3"/>
    <sheet name="Stock Chef" sheetId="5" r:id="rId4"/>
  </sheets>
  <definedNames>
    <definedName name="_xlnm._FilterDatabase" localSheetId="0" hidden="1">Quiebres!$A$4:$P$39</definedName>
    <definedName name="_xlnm._FilterDatabase" localSheetId="3" hidden="1">'Stock Chef'!$A$1:$N$284</definedName>
    <definedName name="_xlnm._FilterDatabase" localSheetId="2" hidden="1">'Stock Loeke'!$A$1:$J$291</definedName>
    <definedName name="_xlnm._FilterDatabase" localSheetId="1" hidden="1">Todos!$A$4:$S$181</definedName>
    <definedName name="_xlnm.Print_Titles" localSheetId="0">Quiebres!$4:$4</definedName>
    <definedName name="_xlnm.Print_Titles" localSheetId="1">Todos!$4:$4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2" l="1"/>
  <c r="I82" i="2"/>
  <c r="J79" i="2"/>
  <c r="J70" i="2"/>
  <c r="J76" i="2"/>
  <c r="I76" i="2"/>
  <c r="I75" i="2"/>
  <c r="I74" i="2"/>
  <c r="I73" i="2"/>
  <c r="I70" i="2"/>
  <c r="R115" i="2"/>
  <c r="K115" i="2"/>
  <c r="M115" i="2" s="1"/>
  <c r="J115" i="2" s="1"/>
  <c r="I115" i="2"/>
  <c r="R114" i="2"/>
  <c r="K114" i="2"/>
  <c r="M114" i="2" s="1"/>
  <c r="J114" i="2" s="1"/>
  <c r="I114" i="2"/>
  <c r="R113" i="2"/>
  <c r="K113" i="2"/>
  <c r="M113" i="2" s="1"/>
  <c r="I113" i="2"/>
  <c r="K112" i="2"/>
  <c r="M112" i="2" s="1"/>
  <c r="J112" i="2" s="1"/>
  <c r="I112" i="2"/>
  <c r="F112" i="2"/>
  <c r="R111" i="2"/>
  <c r="K111" i="2"/>
  <c r="M111" i="2" s="1"/>
  <c r="J111" i="2" s="1"/>
  <c r="I111" i="2"/>
  <c r="F111" i="2"/>
  <c r="K110" i="2"/>
  <c r="M110" i="2" s="1"/>
  <c r="J110" i="2" s="1"/>
  <c r="I110" i="2"/>
  <c r="F110" i="2"/>
  <c r="R109" i="2"/>
  <c r="K109" i="2"/>
  <c r="M109" i="2" s="1"/>
  <c r="J109" i="2" s="1"/>
  <c r="I109" i="2"/>
  <c r="R108" i="2"/>
  <c r="K108" i="2"/>
  <c r="M108" i="2" s="1"/>
  <c r="J108" i="2" s="1"/>
  <c r="I108" i="2"/>
  <c r="R107" i="2"/>
  <c r="K107" i="2"/>
  <c r="M107" i="2" s="1"/>
  <c r="J107" i="2" s="1"/>
  <c r="I107" i="2"/>
  <c r="K106" i="2"/>
  <c r="M106" i="2" s="1"/>
  <c r="J106" i="2" s="1"/>
  <c r="I106" i="2"/>
  <c r="F106" i="2"/>
  <c r="R105" i="2"/>
  <c r="K105" i="2"/>
  <c r="M105" i="2" s="1"/>
  <c r="I105" i="2"/>
  <c r="F105" i="2"/>
  <c r="K71" i="2"/>
  <c r="G108" i="2" l="1"/>
  <c r="F108" i="2" s="1"/>
  <c r="G109" i="2"/>
  <c r="F109" i="2" s="1"/>
  <c r="G115" i="2"/>
  <c r="F115" i="2" s="1"/>
  <c r="G114" i="2"/>
  <c r="F114" i="2" s="1"/>
  <c r="J113" i="2"/>
  <c r="G113" i="2"/>
  <c r="F113" i="2" s="1"/>
  <c r="G112" i="2"/>
  <c r="G111" i="2"/>
  <c r="G110" i="2"/>
  <c r="G107" i="2"/>
  <c r="F107" i="2" s="1"/>
  <c r="G106" i="2"/>
  <c r="J105" i="2"/>
  <c r="G105" i="2"/>
  <c r="K77" i="2"/>
  <c r="K181" i="2" l="1"/>
  <c r="K180" i="2"/>
  <c r="K179" i="2"/>
  <c r="K178" i="2"/>
  <c r="K177" i="2"/>
  <c r="K176" i="2"/>
  <c r="K175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103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84" i="2"/>
  <c r="K83" i="2"/>
  <c r="K82" i="2"/>
  <c r="K81" i="2"/>
  <c r="K80" i="2"/>
  <c r="K79" i="2"/>
  <c r="K78" i="2"/>
  <c r="K76" i="2"/>
  <c r="K75" i="2"/>
  <c r="K74" i="2"/>
  <c r="K73" i="2"/>
  <c r="K72" i="2"/>
  <c r="K70" i="2"/>
  <c r="M82" i="2" l="1"/>
  <c r="J82" i="2" s="1"/>
  <c r="M79" i="2"/>
  <c r="G82" i="2" l="1"/>
  <c r="F82" i="2" s="1"/>
  <c r="G79" i="2"/>
  <c r="F79" i="2" s="1"/>
  <c r="M76" i="2"/>
  <c r="M70" i="2"/>
  <c r="M13" i="2"/>
  <c r="J13" i="2" s="1"/>
  <c r="I13" i="2"/>
  <c r="F13" i="2"/>
  <c r="L5" i="2"/>
  <c r="N104" i="2"/>
  <c r="I104" i="2" s="1"/>
  <c r="N103" i="2"/>
  <c r="I103" i="2" s="1"/>
  <c r="N185" i="2"/>
  <c r="G70" i="2" l="1"/>
  <c r="G76" i="2"/>
  <c r="F76" i="2" s="1"/>
  <c r="G13" i="2"/>
  <c r="I171" i="2"/>
  <c r="M171" i="2"/>
  <c r="M104" i="2"/>
  <c r="J104" i="2" l="1"/>
  <c r="K185" i="2" l="1"/>
  <c r="M185" i="2" s="1"/>
  <c r="I185" i="2"/>
  <c r="M103" i="2"/>
  <c r="G103" i="2" s="1"/>
  <c r="F88" i="2"/>
  <c r="F63" i="2"/>
  <c r="F62" i="2"/>
  <c r="F61" i="2"/>
  <c r="F60" i="2"/>
  <c r="F53" i="2"/>
  <c r="F52" i="2"/>
  <c r="F51" i="2"/>
  <c r="F50" i="2"/>
  <c r="J92" i="2"/>
  <c r="J171" i="2"/>
  <c r="R88" i="2"/>
  <c r="R124" i="2"/>
  <c r="R122" i="2"/>
  <c r="R163" i="2"/>
  <c r="R52" i="2"/>
  <c r="R53" i="2"/>
  <c r="R54" i="2"/>
  <c r="R55" i="2"/>
  <c r="R56" i="2"/>
  <c r="R57" i="2"/>
  <c r="R58" i="2"/>
  <c r="R59" i="2"/>
  <c r="R60" i="2"/>
  <c r="R61" i="2"/>
  <c r="R62" i="2"/>
  <c r="R63" i="2"/>
  <c r="R6" i="2"/>
  <c r="R133" i="2"/>
  <c r="R134" i="2"/>
  <c r="R135" i="2"/>
  <c r="R136" i="2"/>
  <c r="R137" i="2"/>
  <c r="R167" i="2"/>
  <c r="R168" i="2"/>
  <c r="R169" i="2"/>
  <c r="R170" i="2"/>
  <c r="R92" i="2"/>
  <c r="R104" i="2"/>
  <c r="R171" i="2"/>
  <c r="R45" i="2"/>
  <c r="R39" i="2"/>
  <c r="R25" i="2"/>
  <c r="R20" i="2"/>
  <c r="R7" i="2"/>
  <c r="R21" i="2"/>
  <c r="R8" i="2"/>
  <c r="R34" i="2"/>
  <c r="R42" i="2"/>
  <c r="R17" i="2"/>
  <c r="R47" i="2"/>
  <c r="R37" i="2"/>
  <c r="R32" i="2"/>
  <c r="R50" i="2"/>
  <c r="R38" i="2"/>
  <c r="R40" i="2"/>
  <c r="R24" i="2"/>
  <c r="R29" i="2"/>
  <c r="R41" i="2"/>
  <c r="R35" i="2"/>
  <c r="R18" i="2"/>
  <c r="R43" i="2"/>
  <c r="R51" i="2"/>
  <c r="R44" i="2"/>
  <c r="R48" i="2"/>
  <c r="R36" i="2"/>
  <c r="R49" i="2"/>
  <c r="R31" i="2"/>
  <c r="R22" i="2"/>
  <c r="R46" i="2"/>
  <c r="R28" i="2"/>
  <c r="R19" i="2"/>
  <c r="R30" i="2"/>
  <c r="R26" i="2"/>
  <c r="R27" i="2"/>
  <c r="R33" i="2"/>
  <c r="R65" i="2"/>
  <c r="R66" i="2"/>
  <c r="R75" i="2"/>
  <c r="R78" i="2"/>
  <c r="R76" i="2"/>
  <c r="R98" i="2"/>
  <c r="R101" i="2"/>
  <c r="R102" i="2"/>
  <c r="R94" i="2"/>
  <c r="R97" i="2"/>
  <c r="R95" i="2"/>
  <c r="R100" i="2"/>
  <c r="R99" i="2"/>
  <c r="R96" i="2"/>
  <c r="R132" i="2"/>
  <c r="R129" i="2"/>
  <c r="R131" i="2"/>
  <c r="R130" i="2"/>
  <c r="R126" i="2"/>
  <c r="R127" i="2"/>
  <c r="R128" i="2"/>
  <c r="R157" i="2"/>
  <c r="R159" i="2"/>
  <c r="R155" i="2"/>
  <c r="R158" i="2"/>
  <c r="R153" i="2"/>
  <c r="R152" i="2"/>
  <c r="R156" i="2"/>
  <c r="R161" i="2"/>
  <c r="R151" i="2"/>
  <c r="R160" i="2"/>
  <c r="R154" i="2"/>
  <c r="R181" i="2"/>
  <c r="R177" i="2"/>
  <c r="R178" i="2"/>
  <c r="R90" i="2"/>
  <c r="R144" i="2"/>
  <c r="R164" i="2"/>
  <c r="R143" i="2"/>
  <c r="R145" i="2"/>
  <c r="R165" i="2"/>
  <c r="R123" i="2"/>
  <c r="R142" i="2"/>
  <c r="R166" i="2"/>
  <c r="R141" i="2"/>
  <c r="R162" i="2"/>
  <c r="R121" i="2"/>
  <c r="R23" i="2"/>
  <c r="F57" i="2"/>
  <c r="F56" i="2"/>
  <c r="F55" i="2"/>
  <c r="F54" i="2"/>
  <c r="F59" i="2"/>
  <c r="F58" i="2"/>
  <c r="F16" i="2"/>
  <c r="F15" i="2"/>
  <c r="F14" i="2"/>
  <c r="F12" i="2"/>
  <c r="F11" i="2"/>
  <c r="F10" i="2"/>
  <c r="F9" i="2"/>
  <c r="J103" i="2" l="1"/>
  <c r="G185" i="2"/>
  <c r="F185" i="2" s="1"/>
  <c r="F183" i="2" s="1"/>
  <c r="J185" i="2"/>
  <c r="G92" i="2" l="1"/>
  <c r="F92" i="2" s="1"/>
  <c r="F103" i="2"/>
  <c r="G104" i="2"/>
  <c r="F104" i="2" s="1"/>
  <c r="G171" i="2"/>
  <c r="F171" i="2" s="1"/>
  <c r="F45" i="2"/>
  <c r="F39" i="2"/>
  <c r="F25" i="2"/>
  <c r="F20" i="2"/>
  <c r="F7" i="2"/>
  <c r="F21" i="2"/>
  <c r="F8" i="2"/>
  <c r="F34" i="2"/>
  <c r="F42" i="2"/>
  <c r="F17" i="2"/>
  <c r="F47" i="2"/>
  <c r="F37" i="2"/>
  <c r="F32" i="2"/>
  <c r="F38" i="2"/>
  <c r="F40" i="2"/>
  <c r="F24" i="2"/>
  <c r="F29" i="2"/>
  <c r="F41" i="2"/>
  <c r="F35" i="2"/>
  <c r="F18" i="2"/>
  <c r="F43" i="2"/>
  <c r="F44" i="2"/>
  <c r="F48" i="2"/>
  <c r="F36" i="2"/>
  <c r="F49" i="2"/>
  <c r="F31" i="2"/>
  <c r="F22" i="2"/>
  <c r="F46" i="2"/>
  <c r="F28" i="2"/>
  <c r="F19" i="2"/>
  <c r="F30" i="2"/>
  <c r="F26" i="2"/>
  <c r="F27" i="2"/>
  <c r="F33" i="2"/>
  <c r="F64" i="2"/>
  <c r="F94" i="2"/>
  <c r="F95" i="2"/>
  <c r="F152" i="2"/>
  <c r="F151" i="2"/>
  <c r="F178" i="2"/>
  <c r="F90" i="2"/>
  <c r="F144" i="2"/>
  <c r="F180" i="2"/>
  <c r="F145" i="2"/>
  <c r="F89" i="2"/>
  <c r="F93" i="2"/>
  <c r="F147" i="2"/>
  <c r="F142" i="2"/>
  <c r="F141" i="2"/>
  <c r="F179" i="2"/>
  <c r="F148" i="2"/>
  <c r="F149" i="2"/>
  <c r="F146" i="2"/>
  <c r="F5" i="2"/>
  <c r="F150" i="2"/>
  <c r="F6" i="2"/>
  <c r="F23" i="2"/>
  <c r="K36" i="3" l="1"/>
  <c r="L36" i="3"/>
  <c r="M36" i="3"/>
  <c r="N36" i="3"/>
  <c r="O36" i="3"/>
  <c r="P36" i="3"/>
  <c r="I32" i="3"/>
  <c r="J32" i="3" s="1"/>
  <c r="H32" i="3"/>
  <c r="I5" i="3"/>
  <c r="J5" i="3" s="1"/>
  <c r="H5" i="3"/>
  <c r="I28" i="3"/>
  <c r="J28" i="3" s="1"/>
  <c r="H28" i="3"/>
  <c r="I34" i="3"/>
  <c r="J34" i="3" s="1"/>
  <c r="H34" i="3"/>
  <c r="I18" i="3"/>
  <c r="J18" i="3" s="1"/>
  <c r="H18" i="3"/>
  <c r="I31" i="3"/>
  <c r="J31" i="3" s="1"/>
  <c r="H31" i="3"/>
  <c r="I30" i="3"/>
  <c r="J30" i="3" s="1"/>
  <c r="H30" i="3"/>
  <c r="I8" i="3"/>
  <c r="J8" i="3" s="1"/>
  <c r="H8" i="3"/>
  <c r="I16" i="3"/>
  <c r="J16" i="3" s="1"/>
  <c r="H16" i="3"/>
  <c r="I9" i="3"/>
  <c r="J9" i="3" s="1"/>
  <c r="H9" i="3"/>
  <c r="I35" i="3"/>
  <c r="J35" i="3" s="1"/>
  <c r="H35" i="3"/>
  <c r="I12" i="3"/>
  <c r="J12" i="3" s="1"/>
  <c r="H12" i="3"/>
  <c r="I23" i="3"/>
  <c r="J23" i="3" s="1"/>
  <c r="H23" i="3"/>
  <c r="I38" i="3"/>
  <c r="J38" i="3" s="1"/>
  <c r="H38" i="3"/>
  <c r="I22" i="3"/>
  <c r="J22" i="3" s="1"/>
  <c r="H22" i="3"/>
  <c r="I21" i="3"/>
  <c r="J21" i="3" s="1"/>
  <c r="H21" i="3"/>
  <c r="I24" i="3"/>
  <c r="J24" i="3" s="1"/>
  <c r="H24" i="3"/>
  <c r="I29" i="3"/>
  <c r="J29" i="3" s="1"/>
  <c r="H29" i="3"/>
  <c r="I7" i="3"/>
  <c r="J7" i="3" s="1"/>
  <c r="H7" i="3"/>
  <c r="I17" i="3"/>
  <c r="J17" i="3" s="1"/>
  <c r="H17" i="3"/>
  <c r="I11" i="3"/>
  <c r="J11" i="3" s="1"/>
  <c r="H11" i="3"/>
  <c r="I14" i="3"/>
  <c r="J14" i="3" s="1"/>
  <c r="H14" i="3"/>
  <c r="I27" i="3"/>
  <c r="J27" i="3" s="1"/>
  <c r="H27" i="3"/>
  <c r="I39" i="3"/>
  <c r="J39" i="3" s="1"/>
  <c r="H39" i="3"/>
  <c r="I25" i="3"/>
  <c r="J25" i="3" s="1"/>
  <c r="H25" i="3"/>
  <c r="I20" i="3"/>
  <c r="J20" i="3" s="1"/>
  <c r="H20" i="3"/>
  <c r="I26" i="3"/>
  <c r="J26" i="3" s="1"/>
  <c r="H26" i="3"/>
  <c r="I13" i="3"/>
  <c r="J13" i="3" s="1"/>
  <c r="H13" i="3"/>
  <c r="I37" i="3"/>
  <c r="J37" i="3" s="1"/>
  <c r="H37" i="3"/>
  <c r="M177" i="2"/>
  <c r="J177" i="2" s="1"/>
  <c r="I177" i="2"/>
  <c r="M181" i="2"/>
  <c r="J181" i="2" s="1"/>
  <c r="I181" i="2"/>
  <c r="M175" i="2"/>
  <c r="J175" i="2" s="1"/>
  <c r="I175" i="2"/>
  <c r="M176" i="2"/>
  <c r="J176" i="2" s="1"/>
  <c r="I176" i="2"/>
  <c r="M179" i="2"/>
  <c r="J179" i="2" s="1"/>
  <c r="I179" i="2"/>
  <c r="M180" i="2"/>
  <c r="J180" i="2" s="1"/>
  <c r="I180" i="2"/>
  <c r="M178" i="2"/>
  <c r="J178" i="2" s="1"/>
  <c r="I178" i="2"/>
  <c r="M154" i="2"/>
  <c r="J154" i="2" s="1"/>
  <c r="I154" i="2"/>
  <c r="M165" i="2"/>
  <c r="J165" i="2" s="1"/>
  <c r="I165" i="2"/>
  <c r="M163" i="2"/>
  <c r="J163" i="2" s="1"/>
  <c r="I163" i="2"/>
  <c r="M170" i="2"/>
  <c r="J170" i="2" s="1"/>
  <c r="I170" i="2"/>
  <c r="M169" i="2"/>
  <c r="J169" i="2" s="1"/>
  <c r="I169" i="2"/>
  <c r="M168" i="2"/>
  <c r="J168" i="2" s="1"/>
  <c r="I168" i="2"/>
  <c r="M167" i="2"/>
  <c r="J167" i="2" s="1"/>
  <c r="I167" i="2"/>
  <c r="M160" i="2"/>
  <c r="J160" i="2" s="1"/>
  <c r="I160" i="2"/>
  <c r="M151" i="2"/>
  <c r="J151" i="2" s="1"/>
  <c r="I151" i="2"/>
  <c r="M161" i="2"/>
  <c r="J161" i="2" s="1"/>
  <c r="I161" i="2"/>
  <c r="M156" i="2"/>
  <c r="J156" i="2" s="1"/>
  <c r="I156" i="2"/>
  <c r="M152" i="2"/>
  <c r="J152" i="2" s="1"/>
  <c r="I152" i="2"/>
  <c r="M153" i="2"/>
  <c r="J153" i="2" s="1"/>
  <c r="I153" i="2"/>
  <c r="M158" i="2"/>
  <c r="J158" i="2" s="1"/>
  <c r="I158" i="2"/>
  <c r="M155" i="2"/>
  <c r="J155" i="2" s="1"/>
  <c r="I155" i="2"/>
  <c r="M159" i="2"/>
  <c r="J159" i="2" s="1"/>
  <c r="I159" i="2"/>
  <c r="M157" i="2"/>
  <c r="J157" i="2" s="1"/>
  <c r="I157" i="2"/>
  <c r="M150" i="2"/>
  <c r="J150" i="2" s="1"/>
  <c r="I150" i="2"/>
  <c r="M143" i="2"/>
  <c r="J143" i="2" s="1"/>
  <c r="I143" i="2"/>
  <c r="M146" i="2"/>
  <c r="J146" i="2" s="1"/>
  <c r="I146" i="2"/>
  <c r="M149" i="2"/>
  <c r="J149" i="2" s="1"/>
  <c r="I149" i="2"/>
  <c r="M148" i="2"/>
  <c r="J148" i="2" s="1"/>
  <c r="I148" i="2"/>
  <c r="M88" i="2"/>
  <c r="J88" i="2" s="1"/>
  <c r="I88" i="2"/>
  <c r="M162" i="2"/>
  <c r="J162" i="2" s="1"/>
  <c r="I162" i="2"/>
  <c r="M141" i="2"/>
  <c r="J141" i="2" s="1"/>
  <c r="I141" i="2"/>
  <c r="M166" i="2"/>
  <c r="J166" i="2" s="1"/>
  <c r="I166" i="2"/>
  <c r="M142" i="2"/>
  <c r="J142" i="2" s="1"/>
  <c r="I142" i="2"/>
  <c r="M145" i="2"/>
  <c r="J145" i="2" s="1"/>
  <c r="I145" i="2"/>
  <c r="M164" i="2"/>
  <c r="J164" i="2" s="1"/>
  <c r="I164" i="2"/>
  <c r="M147" i="2"/>
  <c r="J147" i="2" s="1"/>
  <c r="I147" i="2"/>
  <c r="M144" i="2"/>
  <c r="J144" i="2" s="1"/>
  <c r="I144" i="2"/>
  <c r="M137" i="2"/>
  <c r="J137" i="2" s="1"/>
  <c r="I137" i="2"/>
  <c r="M136" i="2"/>
  <c r="J136" i="2" s="1"/>
  <c r="I136" i="2"/>
  <c r="M135" i="2"/>
  <c r="J135" i="2" s="1"/>
  <c r="I135" i="2"/>
  <c r="M122" i="2"/>
  <c r="J122" i="2" s="1"/>
  <c r="I122" i="2"/>
  <c r="M134" i="2"/>
  <c r="J134" i="2" s="1"/>
  <c r="I134" i="2"/>
  <c r="M133" i="2"/>
  <c r="J133" i="2" s="1"/>
  <c r="I133" i="2"/>
  <c r="M128" i="2"/>
  <c r="J128" i="2" s="1"/>
  <c r="I128" i="2"/>
  <c r="M127" i="2"/>
  <c r="J127" i="2" s="1"/>
  <c r="I127" i="2"/>
  <c r="M126" i="2"/>
  <c r="J126" i="2" s="1"/>
  <c r="I126" i="2"/>
  <c r="M130" i="2"/>
  <c r="J130" i="2" s="1"/>
  <c r="I130" i="2"/>
  <c r="M131" i="2"/>
  <c r="J131" i="2" s="1"/>
  <c r="I131" i="2"/>
  <c r="M129" i="2"/>
  <c r="J129" i="2" s="1"/>
  <c r="I129" i="2"/>
  <c r="M132" i="2"/>
  <c r="J132" i="2" s="1"/>
  <c r="I132" i="2"/>
  <c r="M124" i="2"/>
  <c r="J124" i="2" s="1"/>
  <c r="I124" i="2"/>
  <c r="M125" i="2"/>
  <c r="J125" i="2" s="1"/>
  <c r="I125" i="2"/>
  <c r="M121" i="2"/>
  <c r="J121" i="2" s="1"/>
  <c r="I121" i="2"/>
  <c r="M123" i="2"/>
  <c r="J123" i="2" s="1"/>
  <c r="I123" i="2"/>
  <c r="M96" i="2"/>
  <c r="J96" i="2" s="1"/>
  <c r="I96" i="2"/>
  <c r="M99" i="2"/>
  <c r="J99" i="2" s="1"/>
  <c r="I99" i="2"/>
  <c r="M100" i="2"/>
  <c r="I100" i="2"/>
  <c r="M95" i="2"/>
  <c r="J95" i="2" s="1"/>
  <c r="I95" i="2"/>
  <c r="M97" i="2"/>
  <c r="J97" i="2" s="1"/>
  <c r="I97" i="2"/>
  <c r="M94" i="2"/>
  <c r="J94" i="2" s="1"/>
  <c r="I94" i="2"/>
  <c r="M102" i="2"/>
  <c r="J102" i="2" s="1"/>
  <c r="I102" i="2"/>
  <c r="M101" i="2"/>
  <c r="J101" i="2" s="1"/>
  <c r="I101" i="2"/>
  <c r="M98" i="2"/>
  <c r="J98" i="2" s="1"/>
  <c r="I98" i="2"/>
  <c r="M91" i="2"/>
  <c r="J91" i="2" s="1"/>
  <c r="I91" i="2"/>
  <c r="M89" i="2"/>
  <c r="J89" i="2" s="1"/>
  <c r="I89" i="2"/>
  <c r="M93" i="2"/>
  <c r="J93" i="2" s="1"/>
  <c r="I93" i="2"/>
  <c r="M90" i="2"/>
  <c r="J90" i="2" s="1"/>
  <c r="I90" i="2"/>
  <c r="M75" i="2"/>
  <c r="J75" i="2" s="1"/>
  <c r="M73" i="2"/>
  <c r="J73" i="2" s="1"/>
  <c r="M74" i="2"/>
  <c r="J74" i="2" s="1"/>
  <c r="M66" i="2"/>
  <c r="J66" i="2" s="1"/>
  <c r="I66" i="2"/>
  <c r="M64" i="2"/>
  <c r="J64" i="2" s="1"/>
  <c r="I64" i="2"/>
  <c r="M65" i="2"/>
  <c r="J65" i="2" s="1"/>
  <c r="I65" i="2"/>
  <c r="M59" i="2"/>
  <c r="J59" i="2" s="1"/>
  <c r="I59" i="2"/>
  <c r="M16" i="2"/>
  <c r="J16" i="2" s="1"/>
  <c r="I16" i="2"/>
  <c r="M15" i="2"/>
  <c r="J15" i="2" s="1"/>
  <c r="I15" i="2"/>
  <c r="M14" i="2"/>
  <c r="J14" i="2" s="1"/>
  <c r="I14" i="2"/>
  <c r="M12" i="2"/>
  <c r="J12" i="2" s="1"/>
  <c r="I12" i="2"/>
  <c r="M11" i="2"/>
  <c r="J11" i="2" s="1"/>
  <c r="I11" i="2"/>
  <c r="M10" i="2"/>
  <c r="J10" i="2" s="1"/>
  <c r="I10" i="2"/>
  <c r="M9" i="2"/>
  <c r="J9" i="2" s="1"/>
  <c r="I9" i="2"/>
  <c r="M63" i="2"/>
  <c r="J63" i="2" s="1"/>
  <c r="I63" i="2"/>
  <c r="M62" i="2"/>
  <c r="J62" i="2" s="1"/>
  <c r="I62" i="2"/>
  <c r="M61" i="2"/>
  <c r="J61" i="2" s="1"/>
  <c r="I61" i="2"/>
  <c r="M58" i="2"/>
  <c r="J58" i="2" s="1"/>
  <c r="I58" i="2"/>
  <c r="M57" i="2"/>
  <c r="J57" i="2" s="1"/>
  <c r="I57" i="2"/>
  <c r="M56" i="2"/>
  <c r="J56" i="2" s="1"/>
  <c r="I56" i="2"/>
  <c r="M55" i="2"/>
  <c r="J55" i="2" s="1"/>
  <c r="I55" i="2"/>
  <c r="M54" i="2"/>
  <c r="J54" i="2" s="1"/>
  <c r="I54" i="2"/>
  <c r="M53" i="2"/>
  <c r="J53" i="2" s="1"/>
  <c r="I53" i="2"/>
  <c r="M52" i="2"/>
  <c r="J52" i="2" s="1"/>
  <c r="I52" i="2"/>
  <c r="M60" i="2"/>
  <c r="J60" i="2" s="1"/>
  <c r="I60" i="2"/>
  <c r="M18" i="2"/>
  <c r="J18" i="2" s="1"/>
  <c r="I18" i="2"/>
  <c r="M33" i="2"/>
  <c r="J33" i="2" s="1"/>
  <c r="I33" i="2"/>
  <c r="M35" i="2"/>
  <c r="J35" i="2" s="1"/>
  <c r="I35" i="2"/>
  <c r="M27" i="2"/>
  <c r="J27" i="2" s="1"/>
  <c r="I27" i="2"/>
  <c r="M26" i="2"/>
  <c r="J26" i="2" s="1"/>
  <c r="I26" i="2"/>
  <c r="M41" i="2"/>
  <c r="J41" i="2" s="1"/>
  <c r="I41" i="2"/>
  <c r="M29" i="2"/>
  <c r="J29" i="2" s="1"/>
  <c r="I29" i="2"/>
  <c r="M24" i="2"/>
  <c r="J24" i="2" s="1"/>
  <c r="I24" i="2"/>
  <c r="L43" i="2"/>
  <c r="M43" i="2" s="1"/>
  <c r="J43" i="2" s="1"/>
  <c r="I43" i="2"/>
  <c r="M25" i="2"/>
  <c r="J25" i="2" s="1"/>
  <c r="I25" i="2"/>
  <c r="M40" i="2"/>
  <c r="J40" i="2" s="1"/>
  <c r="I40" i="2"/>
  <c r="M30" i="2"/>
  <c r="J30" i="2" s="1"/>
  <c r="I30" i="2"/>
  <c r="M19" i="2"/>
  <c r="J19" i="2" s="1"/>
  <c r="I19" i="2"/>
  <c r="M38" i="2"/>
  <c r="J38" i="2" s="1"/>
  <c r="I38" i="2"/>
  <c r="M28" i="2"/>
  <c r="J28" i="2" s="1"/>
  <c r="I28" i="2"/>
  <c r="M46" i="2"/>
  <c r="J46" i="2" s="1"/>
  <c r="I46" i="2"/>
  <c r="M22" i="2"/>
  <c r="J22" i="2" s="1"/>
  <c r="I22" i="2"/>
  <c r="M50" i="2"/>
  <c r="J50" i="2" s="1"/>
  <c r="I50" i="2"/>
  <c r="M32" i="2"/>
  <c r="J32" i="2" s="1"/>
  <c r="I32" i="2"/>
  <c r="M37" i="2"/>
  <c r="J37" i="2" s="1"/>
  <c r="I37" i="2"/>
  <c r="M47" i="2"/>
  <c r="J47" i="2" s="1"/>
  <c r="I47" i="2"/>
  <c r="M17" i="2"/>
  <c r="J17" i="2" s="1"/>
  <c r="I17" i="2"/>
  <c r="M42" i="2"/>
  <c r="J42" i="2" s="1"/>
  <c r="I42" i="2"/>
  <c r="M34" i="2"/>
  <c r="J34" i="2" s="1"/>
  <c r="I34" i="2"/>
  <c r="M8" i="2"/>
  <c r="J8" i="2" s="1"/>
  <c r="I8" i="2"/>
  <c r="M21" i="2"/>
  <c r="J21" i="2" s="1"/>
  <c r="I21" i="2"/>
  <c r="M20" i="2"/>
  <c r="J20" i="2" s="1"/>
  <c r="I20" i="2"/>
  <c r="M31" i="2"/>
  <c r="J31" i="2" s="1"/>
  <c r="I31" i="2"/>
  <c r="M49" i="2"/>
  <c r="J49" i="2" s="1"/>
  <c r="I49" i="2"/>
  <c r="M7" i="2"/>
  <c r="J7" i="2" s="1"/>
  <c r="I7" i="2"/>
  <c r="M36" i="2"/>
  <c r="J36" i="2" s="1"/>
  <c r="I36" i="2"/>
  <c r="M48" i="2"/>
  <c r="J48" i="2" s="1"/>
  <c r="I48" i="2"/>
  <c r="M44" i="2"/>
  <c r="J44" i="2" s="1"/>
  <c r="I44" i="2"/>
  <c r="M6" i="2"/>
  <c r="J6" i="2" s="1"/>
  <c r="I6" i="2"/>
  <c r="M51" i="2"/>
  <c r="J51" i="2" s="1"/>
  <c r="I51" i="2"/>
  <c r="M39" i="2"/>
  <c r="J39" i="2" s="1"/>
  <c r="I39" i="2"/>
  <c r="M45" i="2"/>
  <c r="J45" i="2" s="1"/>
  <c r="I45" i="2"/>
  <c r="M23" i="2"/>
  <c r="J23" i="2" s="1"/>
  <c r="I23" i="2"/>
  <c r="M5" i="2"/>
  <c r="J5" i="2" s="1"/>
  <c r="I5" i="2"/>
  <c r="J100" i="2" l="1"/>
  <c r="G100" i="2"/>
  <c r="J36" i="3"/>
  <c r="H36" i="3"/>
  <c r="G5" i="2"/>
  <c r="G180" i="2"/>
  <c r="G165" i="2"/>
  <c r="F165" i="2" s="1"/>
  <c r="G155" i="2"/>
  <c r="F155" i="2" s="1"/>
  <c r="G163" i="2"/>
  <c r="F163" i="2" s="1"/>
  <c r="G168" i="2"/>
  <c r="F168" i="2" s="1"/>
  <c r="G177" i="2"/>
  <c r="F177" i="2" s="1"/>
  <c r="G143" i="2"/>
  <c r="F143" i="2" s="1"/>
  <c r="G167" i="2"/>
  <c r="F167" i="2" s="1"/>
  <c r="G181" i="2"/>
  <c r="F181" i="2" s="1"/>
  <c r="G179" i="2"/>
  <c r="G66" i="2"/>
  <c r="F66" i="2" s="1"/>
  <c r="G75" i="2"/>
  <c r="F75" i="2" s="1"/>
  <c r="G91" i="2"/>
  <c r="F91" i="2" s="1"/>
  <c r="G94" i="2"/>
  <c r="G99" i="2"/>
  <c r="F99" i="2" s="1"/>
  <c r="G125" i="2"/>
  <c r="F125" i="2" s="1"/>
  <c r="G131" i="2"/>
  <c r="F131" i="2" s="1"/>
  <c r="G128" i="2"/>
  <c r="F128" i="2" s="1"/>
  <c r="G23" i="2"/>
  <c r="G6" i="2"/>
  <c r="G7" i="2"/>
  <c r="G21" i="2"/>
  <c r="G17" i="2"/>
  <c r="G50" i="2"/>
  <c r="G38" i="2"/>
  <c r="G25" i="2"/>
  <c r="G41" i="2"/>
  <c r="G33" i="2"/>
  <c r="G53" i="2"/>
  <c r="G57" i="2"/>
  <c r="G63" i="2"/>
  <c r="G16" i="2"/>
  <c r="G135" i="2"/>
  <c r="F135" i="2" s="1"/>
  <c r="G147" i="2"/>
  <c r="G166" i="2"/>
  <c r="F166" i="2" s="1"/>
  <c r="G51" i="2"/>
  <c r="G36" i="2"/>
  <c r="G148" i="2"/>
  <c r="G150" i="2"/>
  <c r="G158" i="2"/>
  <c r="F158" i="2" s="1"/>
  <c r="G20" i="2"/>
  <c r="G42" i="2"/>
  <c r="G32" i="2"/>
  <c r="G28" i="2"/>
  <c r="G40" i="2"/>
  <c r="G29" i="2"/>
  <c r="G35" i="2"/>
  <c r="G52" i="2"/>
  <c r="G56" i="2"/>
  <c r="G62" i="2"/>
  <c r="G156" i="2"/>
  <c r="F156" i="2" s="1"/>
  <c r="G161" i="2"/>
  <c r="F161" i="2" s="1"/>
  <c r="G10" i="2"/>
  <c r="G14" i="2"/>
  <c r="G15" i="2"/>
  <c r="G64" i="2"/>
  <c r="G73" i="2"/>
  <c r="F73" i="2" s="1"/>
  <c r="G89" i="2"/>
  <c r="G102" i="2"/>
  <c r="F102" i="2" s="1"/>
  <c r="F100" i="2"/>
  <c r="G121" i="2"/>
  <c r="F121" i="2" s="1"/>
  <c r="G129" i="2"/>
  <c r="F129" i="2" s="1"/>
  <c r="G127" i="2"/>
  <c r="F127" i="2" s="1"/>
  <c r="G122" i="2"/>
  <c r="F122" i="2" s="1"/>
  <c r="G144" i="2"/>
  <c r="G142" i="2"/>
  <c r="G88" i="2"/>
  <c r="G123" i="2"/>
  <c r="F123" i="2" s="1"/>
  <c r="G132" i="2"/>
  <c r="F132" i="2" s="1"/>
  <c r="G126" i="2"/>
  <c r="F126" i="2" s="1"/>
  <c r="G134" i="2"/>
  <c r="F134" i="2" s="1"/>
  <c r="G137" i="2"/>
  <c r="F137" i="2" s="1"/>
  <c r="G145" i="2"/>
  <c r="G162" i="2"/>
  <c r="F162" i="2" s="1"/>
  <c r="G146" i="2"/>
  <c r="G159" i="2"/>
  <c r="F159" i="2" s="1"/>
  <c r="G152" i="2"/>
  <c r="G160" i="2"/>
  <c r="F160" i="2" s="1"/>
  <c r="G170" i="2"/>
  <c r="F170" i="2" s="1"/>
  <c r="G178" i="2"/>
  <c r="G175" i="2"/>
  <c r="F175" i="2" s="1"/>
  <c r="G45" i="2"/>
  <c r="G44" i="2"/>
  <c r="G49" i="2"/>
  <c r="G8" i="2"/>
  <c r="G47" i="2"/>
  <c r="G22" i="2"/>
  <c r="G19" i="2"/>
  <c r="G43" i="2"/>
  <c r="G26" i="2"/>
  <c r="G18" i="2"/>
  <c r="G54" i="2"/>
  <c r="G58" i="2"/>
  <c r="G11" i="2"/>
  <c r="G59" i="2"/>
  <c r="F70" i="2"/>
  <c r="G90" i="2"/>
  <c r="G98" i="2"/>
  <c r="F98" i="2" s="1"/>
  <c r="G97" i="2"/>
  <c r="F97" i="2" s="1"/>
  <c r="G96" i="2"/>
  <c r="F96" i="2" s="1"/>
  <c r="G39" i="2"/>
  <c r="G48" i="2"/>
  <c r="G31" i="2"/>
  <c r="G34" i="2"/>
  <c r="G37" i="2"/>
  <c r="G46" i="2"/>
  <c r="G30" i="2"/>
  <c r="G24" i="2"/>
  <c r="G27" i="2"/>
  <c r="G60" i="2"/>
  <c r="G55" i="2"/>
  <c r="G61" i="2"/>
  <c r="G9" i="2"/>
  <c r="G12" i="2"/>
  <c r="G65" i="2"/>
  <c r="F65" i="2" s="1"/>
  <c r="G74" i="2"/>
  <c r="F74" i="2" s="1"/>
  <c r="G93" i="2"/>
  <c r="G101" i="2"/>
  <c r="F101" i="2" s="1"/>
  <c r="G95" i="2"/>
  <c r="G124" i="2"/>
  <c r="F124" i="2" s="1"/>
  <c r="G130" i="2"/>
  <c r="F130" i="2" s="1"/>
  <c r="G133" i="2"/>
  <c r="F133" i="2" s="1"/>
  <c r="G136" i="2"/>
  <c r="F136" i="2" s="1"/>
  <c r="G164" i="2"/>
  <c r="F164" i="2" s="1"/>
  <c r="G141" i="2"/>
  <c r="G149" i="2"/>
  <c r="G157" i="2"/>
  <c r="F157" i="2" s="1"/>
  <c r="G153" i="2"/>
  <c r="F153" i="2" s="1"/>
  <c r="G151" i="2"/>
  <c r="G169" i="2"/>
  <c r="F169" i="2" s="1"/>
  <c r="G154" i="2"/>
  <c r="F154" i="2" s="1"/>
  <c r="G176" i="2"/>
  <c r="F176" i="2" s="1"/>
  <c r="I36" i="3"/>
  <c r="G5" i="3"/>
  <c r="G30" i="3"/>
  <c r="G39" i="3"/>
  <c r="G28" i="3"/>
  <c r="G31" i="3"/>
  <c r="G26" i="3"/>
  <c r="G21" i="3"/>
  <c r="G12" i="3"/>
  <c r="G8" i="3"/>
  <c r="G14" i="3"/>
  <c r="G11" i="3"/>
  <c r="G24" i="3"/>
  <c r="G16" i="3"/>
  <c r="G18" i="3"/>
  <c r="G35" i="3"/>
  <c r="G34" i="3"/>
  <c r="G13" i="3"/>
  <c r="G38" i="3"/>
  <c r="G9" i="3"/>
  <c r="G27" i="3"/>
  <c r="G17" i="3"/>
  <c r="G22" i="3"/>
  <c r="G32" i="3"/>
  <c r="G37" i="3"/>
  <c r="G7" i="3"/>
  <c r="G29" i="3"/>
  <c r="G20" i="3"/>
  <c r="G25" i="3"/>
  <c r="G23" i="3"/>
  <c r="F86" i="2" l="1"/>
  <c r="F68" i="2"/>
  <c r="F3" i="2"/>
  <c r="F173" i="2"/>
  <c r="F139" i="2"/>
  <c r="F119" i="2"/>
  <c r="G3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Loekemeyer</author>
    <author>Marianela Becker</author>
  </authors>
  <commentList>
    <comment ref="H4" authorId="0" shapeId="0" xr:uid="{B8D70019-CA89-4195-BFB4-F26F14AD600F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  <comment ref="H69" authorId="0" shapeId="0" xr:uid="{BEFD3F89-86F0-40FB-9EAD-48C586B49DE9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  <comment ref="H87" authorId="0" shapeId="0" xr:uid="{AC4BB36A-D40F-4F34-B63E-D22F73F61797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  <comment ref="K103" authorId="1" shapeId="0" xr:uid="{677D3AF9-D476-4EC4-B743-33658BF1049C}">
      <text>
        <r>
          <rPr>
            <b/>
            <sz val="9"/>
            <color indexed="81"/>
            <rFont val="Tahoma"/>
            <family val="2"/>
          </rPr>
          <t>Virgilio:
TN
H201PART 56.000
CHEF 
12.000</t>
        </r>
      </text>
    </comment>
    <comment ref="H120" authorId="0" shapeId="0" xr:uid="{EEA8363C-1C44-49DD-BACC-35944FC93DEB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  <comment ref="H140" authorId="0" shapeId="0" xr:uid="{F27BC94E-C2C3-4ABD-86E9-45C688AC23D7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  <comment ref="H174" authorId="0" shapeId="0" xr:uid="{B53208DD-3881-448F-86C5-D46D695B7885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  <comment ref="H184" authorId="0" shapeId="0" xr:uid="{D3ABC848-8793-4A54-A507-9657A1E7363E}">
      <text>
        <r>
          <rPr>
            <b/>
            <sz val="9"/>
            <color indexed="81"/>
            <rFont val="Tahoma"/>
            <family val="2"/>
          </rPr>
          <t>Thomas Loekemeyer:</t>
        </r>
        <r>
          <rPr>
            <sz val="9"/>
            <color indexed="81"/>
            <rFont val="Tahoma"/>
            <family val="2"/>
          </rPr>
          <t xml:space="preserve">
Escribí acá la cantidad a pedir a mano. Si dejás la celda vacía, el Total FOB usa el pedido generado automáticamente (columna G).</t>
        </r>
      </text>
    </comment>
  </commentList>
</comments>
</file>

<file path=xl/sharedStrings.xml><?xml version="1.0" encoding="utf-8"?>
<sst xmlns="http://schemas.openxmlformats.org/spreadsheetml/2006/main" count="2676" uniqueCount="1175">
  <si>
    <t>Proveedor</t>
  </si>
  <si>
    <t>Cod Art</t>
  </si>
  <si>
    <t>Descripcion</t>
  </si>
  <si>
    <t>Genera Pedido</t>
  </si>
  <si>
    <t>Maximo Determinado</t>
  </si>
  <si>
    <t>Stock Actual</t>
  </si>
  <si>
    <t>Pedido en Curso</t>
  </si>
  <si>
    <t>Total Stock</t>
  </si>
  <si>
    <t>Est Madre</t>
  </si>
  <si>
    <t>QUIEBRE de art importados</t>
  </si>
  <si>
    <t>Ultimos tres meses de ventas</t>
  </si>
  <si>
    <t>035E</t>
  </si>
  <si>
    <t>056E</t>
  </si>
  <si>
    <t>102E</t>
  </si>
  <si>
    <t>106E</t>
  </si>
  <si>
    <t>123E</t>
  </si>
  <si>
    <t>124E</t>
  </si>
  <si>
    <t>198E</t>
  </si>
  <si>
    <t>260E</t>
  </si>
  <si>
    <t>323E</t>
  </si>
  <si>
    <t>328E</t>
  </si>
  <si>
    <t>360E</t>
  </si>
  <si>
    <t>361E</t>
  </si>
  <si>
    <t>362E</t>
  </si>
  <si>
    <t>363E</t>
  </si>
  <si>
    <t>364E</t>
  </si>
  <si>
    <t>365E</t>
  </si>
  <si>
    <t>366E</t>
  </si>
  <si>
    <t>367E</t>
  </si>
  <si>
    <t>368E</t>
  </si>
  <si>
    <t>369E</t>
  </si>
  <si>
    <t>388E</t>
  </si>
  <si>
    <t>404E</t>
  </si>
  <si>
    <t>437E</t>
  </si>
  <si>
    <t>438E</t>
  </si>
  <si>
    <t>439E</t>
  </si>
  <si>
    <t>440E</t>
  </si>
  <si>
    <t>478E</t>
  </si>
  <si>
    <t>503E</t>
  </si>
  <si>
    <t>514E</t>
  </si>
  <si>
    <t>522E</t>
  </si>
  <si>
    <t>525E</t>
  </si>
  <si>
    <t>529E</t>
  </si>
  <si>
    <t>536E</t>
  </si>
  <si>
    <t>538E</t>
  </si>
  <si>
    <t>539E</t>
  </si>
  <si>
    <t>540E</t>
  </si>
  <si>
    <t>541E</t>
  </si>
  <si>
    <t>566E</t>
  </si>
  <si>
    <t>574E</t>
  </si>
  <si>
    <t>580E</t>
  </si>
  <si>
    <t>582E</t>
  </si>
  <si>
    <t>583E</t>
  </si>
  <si>
    <t>584E</t>
  </si>
  <si>
    <t>585E</t>
  </si>
  <si>
    <t>589E</t>
  </si>
  <si>
    <t>590E</t>
  </si>
  <si>
    <t>590ES</t>
  </si>
  <si>
    <t>598E</t>
  </si>
  <si>
    <t>599ES</t>
  </si>
  <si>
    <t>601E</t>
  </si>
  <si>
    <t>602E</t>
  </si>
  <si>
    <t>603E</t>
  </si>
  <si>
    <t>604E</t>
  </si>
  <si>
    <t>605E</t>
  </si>
  <si>
    <t>606E</t>
  </si>
  <si>
    <t>607E</t>
  </si>
  <si>
    <t>608E</t>
  </si>
  <si>
    <t>809E</t>
  </si>
  <si>
    <t>810E</t>
  </si>
  <si>
    <t>811E</t>
  </si>
  <si>
    <t>812E</t>
  </si>
  <si>
    <t>813E</t>
  </si>
  <si>
    <t>814E</t>
  </si>
  <si>
    <t>815E</t>
  </si>
  <si>
    <t>816E</t>
  </si>
  <si>
    <t>817E</t>
  </si>
  <si>
    <t>819E</t>
  </si>
  <si>
    <t>870E</t>
  </si>
  <si>
    <t>930E</t>
  </si>
  <si>
    <t>931E</t>
  </si>
  <si>
    <t>932E</t>
  </si>
  <si>
    <t>933E</t>
  </si>
  <si>
    <t>934E</t>
  </si>
  <si>
    <t>935E</t>
  </si>
  <si>
    <t>936E</t>
  </si>
  <si>
    <t>937E</t>
  </si>
  <si>
    <t>938E</t>
  </si>
  <si>
    <t>939E</t>
  </si>
  <si>
    <t>940E</t>
  </si>
  <si>
    <t>941E</t>
  </si>
  <si>
    <t>942E</t>
  </si>
  <si>
    <t>943E</t>
  </si>
  <si>
    <t>944E</t>
  </si>
  <si>
    <t>945E</t>
  </si>
  <si>
    <t>946E</t>
  </si>
  <si>
    <t>947E</t>
  </si>
  <si>
    <t>948E</t>
  </si>
  <si>
    <t>949E</t>
  </si>
  <si>
    <t>950E</t>
  </si>
  <si>
    <t>951E</t>
  </si>
  <si>
    <t>952E</t>
  </si>
  <si>
    <t>953E</t>
  </si>
  <si>
    <t>954E</t>
  </si>
  <si>
    <t>955E</t>
  </si>
  <si>
    <t>956E</t>
  </si>
  <si>
    <t>957E</t>
  </si>
  <si>
    <t>958E</t>
  </si>
  <si>
    <t>959E</t>
  </si>
  <si>
    <t>960E</t>
  </si>
  <si>
    <t>968E</t>
  </si>
  <si>
    <t>969E</t>
  </si>
  <si>
    <t>970E</t>
  </si>
  <si>
    <t>971E</t>
  </si>
  <si>
    <t>980E</t>
  </si>
  <si>
    <t>981E</t>
  </si>
  <si>
    <t>982E</t>
  </si>
  <si>
    <t>983E</t>
  </si>
  <si>
    <t>984E</t>
  </si>
  <si>
    <t>985E</t>
  </si>
  <si>
    <t>988E</t>
  </si>
  <si>
    <t>990E</t>
  </si>
  <si>
    <t>992E</t>
  </si>
  <si>
    <t>993E</t>
  </si>
  <si>
    <t>994E</t>
  </si>
  <si>
    <t>996E</t>
  </si>
  <si>
    <t>998E</t>
  </si>
  <si>
    <t>999E</t>
  </si>
  <si>
    <t>Cernidor Harina Ac. Inox.</t>
  </si>
  <si>
    <t xml:space="preserve"> Destapador Full Black</t>
  </si>
  <si>
    <t>Abr Mariposa Loke</t>
  </si>
  <si>
    <t>Sac Doble Impulso Loke</t>
  </si>
  <si>
    <t>Pelador Mgo Plastico Economico</t>
  </si>
  <si>
    <t>Sac Negro Premiun Loke</t>
  </si>
  <si>
    <t>Pelador Negro Dentado Loke</t>
  </si>
  <si>
    <t>Infusor de te</t>
  </si>
  <si>
    <t>Rallador 4 Lados Mini</t>
  </si>
  <si>
    <t>Rallador Plano 3 Usos Ac Inox</t>
  </si>
  <si>
    <t>Rallador 4 Lados A/L Mgo Plast</t>
  </si>
  <si>
    <t>Rallador 4 Lados Ac Inox (20 c</t>
  </si>
  <si>
    <t>Rallador 4 Lados Ac Inox (23 c</t>
  </si>
  <si>
    <t>Rallador Gourmet grano fino</t>
  </si>
  <si>
    <t>Rallador Gourmet grano medio</t>
  </si>
  <si>
    <t>Rallador Gourmet grano grueso</t>
  </si>
  <si>
    <t xml:space="preserve">Rallador conico ac inox x12 </t>
  </si>
  <si>
    <t>Rallador hexagonal a/i x 12</t>
  </si>
  <si>
    <t>Rallador hexagonal A/I con bas</t>
  </si>
  <si>
    <t>Rallador 4 Lados A/L Mgo c/bas</t>
  </si>
  <si>
    <t>Maquina Corta Papa</t>
  </si>
  <si>
    <t>Afila Chuchillos Premiun</t>
  </si>
  <si>
    <t>Colador 16 cm Ac. Inox.</t>
  </si>
  <si>
    <t>Colador 20 cm Ac. Inox.</t>
  </si>
  <si>
    <t>Colador de Pastas Ac. Inox.</t>
  </si>
  <si>
    <t>Colador Extensible  Ac. Inox.</t>
  </si>
  <si>
    <t>Sac. Doble Impulso</t>
  </si>
  <si>
    <t>Abrelata Mariposa Familiar</t>
  </si>
  <si>
    <t>Abrelata Doble Engranaje</t>
  </si>
  <si>
    <t>Destapador Full Black Suelto</t>
  </si>
  <si>
    <t>Sacacorcho Cabo De Madera</t>
  </si>
  <si>
    <t>Sac. Doble Impulso Acero</t>
  </si>
  <si>
    <t>Sacacorcho Premiun Full Black</t>
  </si>
  <si>
    <t>Sacacorcho Azul</t>
  </si>
  <si>
    <t>Sacacorcho Negro</t>
  </si>
  <si>
    <t>Sacacorcho Premium</t>
  </si>
  <si>
    <t>Prensa Ajo</t>
  </si>
  <si>
    <t>Aceitera 100 ml</t>
  </si>
  <si>
    <t>Corta Quesos Blandos x 12</t>
  </si>
  <si>
    <t>Batidor Mini</t>
  </si>
  <si>
    <t>Salero</t>
  </si>
  <si>
    <t>Especiero Doble Boqui</t>
  </si>
  <si>
    <t>Aceitera 400 Ml</t>
  </si>
  <si>
    <t>Sac. Doble Aleta Fundicion</t>
  </si>
  <si>
    <t xml:space="preserve">Pelador Mgo Plastico </t>
  </si>
  <si>
    <t>Pincel Silicona 11 Gms</t>
  </si>
  <si>
    <t>Pincel Silicona 11 Gms Suelto</t>
  </si>
  <si>
    <t>Pelador Negro Dentado</t>
  </si>
  <si>
    <t>Pelador Mad Verd Multif Suelto</t>
  </si>
  <si>
    <t>Pinza 30cm Ac. Puntera Silic</t>
  </si>
  <si>
    <t>Pinza 25cm Ac. Puntera Silic</t>
  </si>
  <si>
    <t xml:space="preserve">Pinza 23cm Ac Inox </t>
  </si>
  <si>
    <t xml:space="preserve">Pinza 30cm Ac Inox </t>
  </si>
  <si>
    <t xml:space="preserve">Pinza 23cm Ac Inox c/ Silic </t>
  </si>
  <si>
    <t xml:space="preserve">Pinza 30 cm Ac Inox c/ Silic </t>
  </si>
  <si>
    <t>Pinza Hielo 15 cm</t>
  </si>
  <si>
    <t>Pinza Hielo 22 cm</t>
  </si>
  <si>
    <t>Corta pizza familiar</t>
  </si>
  <si>
    <t>Corta Queso ac inox (Semiduro)</t>
  </si>
  <si>
    <t>Corta Pizza C/Mgo Ergonomico</t>
  </si>
  <si>
    <t>Corta Huevo</t>
  </si>
  <si>
    <t>Afila Cuchillo</t>
  </si>
  <si>
    <t>Mariposa Manopla Magnetica</t>
  </si>
  <si>
    <t>Batidor pera Ac. Inox c/mgo</t>
  </si>
  <si>
    <t>Pelador V Con Mgo Ergonomico</t>
  </si>
  <si>
    <t>Rallador C/Mgo Ergonomico</t>
  </si>
  <si>
    <t>Sacacorcho "Fish" Grande</t>
  </si>
  <si>
    <t xml:space="preserve">Mandolina Rallador </t>
  </si>
  <si>
    <t>Pisa Papas Nylon  Mgo Madera</t>
  </si>
  <si>
    <t>Espatula Lisa Nylon Mgo Madera</t>
  </si>
  <si>
    <t>Cuchara Nylon Mgo Madera</t>
  </si>
  <si>
    <t>Cucharon Nylon Mgo Madera</t>
  </si>
  <si>
    <t>Cuchara Fideos Nylon Mgo Mad</t>
  </si>
  <si>
    <t>Espatula Calada Nylon Mgo Mad</t>
  </si>
  <si>
    <t>Espumadera Nylon Mgo Madera</t>
  </si>
  <si>
    <t>Batidor Pera  Nylon Mgo Mad</t>
  </si>
  <si>
    <t>Espumadera Nylon  Mgo Madera</t>
  </si>
  <si>
    <t>Espatula  Nylon  Mgo Madera</t>
  </si>
  <si>
    <t>Pisa Papas Ac. Inox</t>
  </si>
  <si>
    <t xml:space="preserve">Espatula Lisa Ac. Inox </t>
  </si>
  <si>
    <t xml:space="preserve">Cuchara  Ac. Inox </t>
  </si>
  <si>
    <t xml:space="preserve">Cucharon  Ac. Inox </t>
  </si>
  <si>
    <t xml:space="preserve">Cuchara Fideos  Ac. Inox </t>
  </si>
  <si>
    <t xml:space="preserve">Espatula Calada Ac. Inox </t>
  </si>
  <si>
    <t xml:space="preserve">Cuchara Calada  Ac. Inox </t>
  </si>
  <si>
    <t xml:space="preserve">Batidor Pera  Ac. Inox </t>
  </si>
  <si>
    <t xml:space="preserve">Espumadera Ac. Inox </t>
  </si>
  <si>
    <t xml:space="preserve">Espatula Ac. Inox </t>
  </si>
  <si>
    <t>Pisa Papas Silicona Mgo Bambú</t>
  </si>
  <si>
    <t>Espatula lisa Silic Mgo Bambú</t>
  </si>
  <si>
    <t>Cuchara Silicona Mgo Bambú</t>
  </si>
  <si>
    <t>Cucharon Silicona Mgo Bambú</t>
  </si>
  <si>
    <t>Cuchara Fideos Silic Mgo Bambú</t>
  </si>
  <si>
    <t>Espatula Silicona  Mgo Bambú</t>
  </si>
  <si>
    <t>Cuchara Calada Silic Mgo Bambú</t>
  </si>
  <si>
    <t>Batidor Pera Silic Mgo Bambú</t>
  </si>
  <si>
    <t>Pincel Silicona Mgo Bambú</t>
  </si>
  <si>
    <t>Espatula Silicona Mgo Bambú</t>
  </si>
  <si>
    <t>Pincel Silicona 52 Gms</t>
  </si>
  <si>
    <t>Cuchara Plana Silic Mgo Bambú</t>
  </si>
  <si>
    <t>Batidor Silicona Mgo. Plastico</t>
  </si>
  <si>
    <t>Cuchara Silicona Mgo. Plastico</t>
  </si>
  <si>
    <t>Espatula Silicona Mgo Plastico</t>
  </si>
  <si>
    <t>Tenedor Ensalada Linea Premium</t>
  </si>
  <si>
    <t>Espátula Lisa Linea Premium</t>
  </si>
  <si>
    <t>Cuchara Linea Premium</t>
  </si>
  <si>
    <t>Cucharón Linea Premium</t>
  </si>
  <si>
    <t>Cuchara Fideos Linea Premium</t>
  </si>
  <si>
    <t>Espatula Calada Linea Premium</t>
  </si>
  <si>
    <t>Espumadera Linea Premium</t>
  </si>
  <si>
    <t>Corta Ravioles Mgo Acacia</t>
  </si>
  <si>
    <t>Batidor Pera Mgo Acacia</t>
  </si>
  <si>
    <t>Pelador V Mgo Acacia</t>
  </si>
  <si>
    <t>Pelador Mgo Acacia</t>
  </si>
  <si>
    <t>Corta Pizza 9cm Mgo Acacia</t>
  </si>
  <si>
    <t xml:space="preserve">Abrelatas Doble Engranaje Mgo </t>
  </si>
  <si>
    <t>Pica Ajo Mgo Acacia</t>
  </si>
  <si>
    <t>May 26 Uni</t>
  </si>
  <si>
    <t>Abr 26 Uni</t>
  </si>
  <si>
    <t>Mzo 26 Uni</t>
  </si>
  <si>
    <t>690E</t>
  </si>
  <si>
    <t>692E</t>
  </si>
  <si>
    <t>702E</t>
  </si>
  <si>
    <t>712E</t>
  </si>
  <si>
    <t>725E</t>
  </si>
  <si>
    <t>727E</t>
  </si>
  <si>
    <t>729E</t>
  </si>
  <si>
    <t>733E</t>
  </si>
  <si>
    <t>798E</t>
  </si>
  <si>
    <t>838E</t>
  </si>
  <si>
    <t>865E</t>
  </si>
  <si>
    <t>865ED</t>
  </si>
  <si>
    <t>868E</t>
  </si>
  <si>
    <t>877E</t>
  </si>
  <si>
    <t>890E</t>
  </si>
  <si>
    <t>Colador 16cm ac. inox.</t>
  </si>
  <si>
    <t>Colador 20cm ac. inox.</t>
  </si>
  <si>
    <t>Mariposa Magnetica</t>
  </si>
  <si>
    <t>Pelador "v" horizontal</t>
  </si>
  <si>
    <t>Abrelata mariposa.</t>
  </si>
  <si>
    <t>Pelador mgo plastico economico</t>
  </si>
  <si>
    <t>Sacacorcho cabo de  madera CH</t>
  </si>
  <si>
    <t>Sacacorcho Doble Imp. Ac x12</t>
  </si>
  <si>
    <t>Sac. doble aleta fundicion</t>
  </si>
  <si>
    <t>Sacacorcho doble impulso pint.</t>
  </si>
  <si>
    <t>CORTA  QUESO x 12</t>
  </si>
  <si>
    <t>Rallador plano  a/I 3 usos</t>
  </si>
  <si>
    <t>Rallador plano a/I 3 usos x12</t>
  </si>
  <si>
    <t>Rallador 4  lados a/i mgo plas</t>
  </si>
  <si>
    <t>Corta Pizza Mgo Ergonomico  6</t>
  </si>
  <si>
    <t>Marca</t>
  </si>
  <si>
    <t>LK</t>
  </si>
  <si>
    <t>Loke</t>
  </si>
  <si>
    <t>CH</t>
  </si>
  <si>
    <t>Kangli</t>
  </si>
  <si>
    <t>Becky 1/2</t>
  </si>
  <si>
    <t>Ownland</t>
  </si>
  <si>
    <t>Becky 2</t>
  </si>
  <si>
    <t>Becky 1</t>
  </si>
  <si>
    <t>Hugo Wong</t>
  </si>
  <si>
    <t>Fujian</t>
  </si>
  <si>
    <t>Becky</t>
  </si>
  <si>
    <t>Zhixin</t>
  </si>
  <si>
    <t xml:space="preserve">Becky </t>
  </si>
  <si>
    <t>Parte Corta Queso</t>
  </si>
  <si>
    <t>espiral</t>
  </si>
  <si>
    <t>523C</t>
  </si>
  <si>
    <t>Cremallera</t>
  </si>
  <si>
    <t>522ES</t>
  </si>
  <si>
    <t>Sac. Doble Aleta Premium</t>
  </si>
  <si>
    <t>Sac. Doble Aleta Premium Suelto</t>
  </si>
  <si>
    <t>Meses</t>
  </si>
  <si>
    <t>(se reenvaso para 702EN - esp. Walmart)</t>
  </si>
  <si>
    <t>lo lleva Dorinka (se tomo 865E+ED)</t>
  </si>
  <si>
    <t>me parece que dijiste que no te gustaba</t>
  </si>
  <si>
    <t>se compraba</t>
  </si>
  <si>
    <t>discontinuo</t>
  </si>
  <si>
    <t>discontinuo (se le vende a Dorinka)</t>
  </si>
  <si>
    <t>+ barato nacional</t>
  </si>
  <si>
    <t>mayor consumo (megashop)</t>
  </si>
  <si>
    <t>mayor consumo (megashop/Jumbo)</t>
  </si>
  <si>
    <t>todo junto</t>
  </si>
  <si>
    <t>590+890</t>
  </si>
  <si>
    <t>mayor consumo (Coto)</t>
  </si>
  <si>
    <t>Observaciones</t>
  </si>
  <si>
    <t>FOB</t>
  </si>
  <si>
    <t>Total FOB</t>
  </si>
  <si>
    <t>FOB Uni</t>
  </si>
  <si>
    <t>es el 323E reenvasado (lo lleva Dorinka)</t>
  </si>
  <si>
    <t>Cotizador</t>
  </si>
  <si>
    <t>NO</t>
  </si>
  <si>
    <t>No esta en Cotizador/ Art Nuevo o Discontinuo</t>
  </si>
  <si>
    <t>Partes</t>
  </si>
  <si>
    <t>Pedido Manual</t>
  </si>
  <si>
    <t>1400 (solo si lo incorporo super)</t>
  </si>
  <si>
    <t>6400 (solo si lo incorporo super)</t>
  </si>
  <si>
    <t>4000 (se trae como 589e, fijate si consideraste el stock)</t>
  </si>
  <si>
    <t>2400 (solo si lo incorporo super)</t>
  </si>
  <si>
    <t>Agregar al pedido en curso</t>
  </si>
  <si>
    <t>Agregar 1200 al segundo pedido</t>
  </si>
  <si>
    <t>520-521-30-31-581-735-730-731</t>
  </si>
  <si>
    <t>Cód.Artículo</t>
  </si>
  <si>
    <t>Descripción</t>
  </si>
  <si>
    <t>Med.</t>
  </si>
  <si>
    <t xml:space="preserve">Stock </t>
  </si>
  <si>
    <t>Pedido</t>
  </si>
  <si>
    <t>Pedido Kit/Cbo</t>
  </si>
  <si>
    <t>Compras</t>
  </si>
  <si>
    <t>Cpras Kit/Cbo</t>
  </si>
  <si>
    <t>0007</t>
  </si>
  <si>
    <t>espiral para loeke</t>
  </si>
  <si>
    <t>caja</t>
  </si>
  <si>
    <t>025</t>
  </si>
  <si>
    <t xml:space="preserve"> Ø 7 Env.</t>
  </si>
  <si>
    <t>026</t>
  </si>
  <si>
    <t xml:space="preserve"> Ø 8 Env.</t>
  </si>
  <si>
    <t>027</t>
  </si>
  <si>
    <t xml:space="preserve"> Ø - COLADOR N°10</t>
  </si>
  <si>
    <t>028</t>
  </si>
  <si>
    <t xml:space="preserve"> Ø 13 Env.</t>
  </si>
  <si>
    <t>029</t>
  </si>
  <si>
    <t xml:space="preserve"> Ø 16 Env.</t>
  </si>
  <si>
    <t>030</t>
  </si>
  <si>
    <t xml:space="preserve"> Ø 20 Env.</t>
  </si>
  <si>
    <t>031</t>
  </si>
  <si>
    <t>Filtros de Café</t>
  </si>
  <si>
    <t>034</t>
  </si>
  <si>
    <t>Filtro de Café Gastronomico</t>
  </si>
  <si>
    <t>kilos</t>
  </si>
  <si>
    <t>unidad</t>
  </si>
  <si>
    <t>057</t>
  </si>
  <si>
    <t>Destapa Corona * 1 Env.</t>
  </si>
  <si>
    <t>058</t>
  </si>
  <si>
    <t>Cierra Bolsa x 2</t>
  </si>
  <si>
    <t>059</t>
  </si>
  <si>
    <t>Cuchillito de Untar Plast X 2</t>
  </si>
  <si>
    <t>066</t>
  </si>
  <si>
    <t>Abrelatas Super Mariposa</t>
  </si>
  <si>
    <t>067</t>
  </si>
  <si>
    <t>Sacacorchos Tipo Mozo Suelto</t>
  </si>
  <si>
    <t>070</t>
  </si>
  <si>
    <t>Set Taper Pack x 3</t>
  </si>
  <si>
    <t>101</t>
  </si>
  <si>
    <t>Abr Manija Loke</t>
  </si>
  <si>
    <t>103</t>
  </si>
  <si>
    <t>Abr Uña Pint Loke</t>
  </si>
  <si>
    <t>104</t>
  </si>
  <si>
    <t>Sac  Ergo  Loke</t>
  </si>
  <si>
    <t>108</t>
  </si>
  <si>
    <t>Pel Mgo Met Loke</t>
  </si>
  <si>
    <t>109</t>
  </si>
  <si>
    <t>Sac Zincado Loke</t>
  </si>
  <si>
    <t>110</t>
  </si>
  <si>
    <t>Colador N° 8 Loke</t>
  </si>
  <si>
    <t>111</t>
  </si>
  <si>
    <t>Colador  N°10  Loke</t>
  </si>
  <si>
    <t>112</t>
  </si>
  <si>
    <t xml:space="preserve"> Ø 16 Env. Loke</t>
  </si>
  <si>
    <t>113</t>
  </si>
  <si>
    <t>Colador  N°20  Loke</t>
  </si>
  <si>
    <t>114</t>
  </si>
  <si>
    <t>Afila  Cuch  Loke</t>
  </si>
  <si>
    <t>115</t>
  </si>
  <si>
    <t>Batidor Pera Loke</t>
  </si>
  <si>
    <t>116</t>
  </si>
  <si>
    <t>Corta Pizza Loke</t>
  </si>
  <si>
    <t>119</t>
  </si>
  <si>
    <t>Corta Quesos  Mgo Alamb Loke</t>
  </si>
  <si>
    <t>120</t>
  </si>
  <si>
    <t>Filtros de Café Loke</t>
  </si>
  <si>
    <t>121</t>
  </si>
  <si>
    <t>Pisa Papas  Loke</t>
  </si>
  <si>
    <t>123</t>
  </si>
  <si>
    <t>Pelador Plastico  Loke</t>
  </si>
  <si>
    <t>186</t>
  </si>
  <si>
    <t>Pelador  Ergo  Loke</t>
  </si>
  <si>
    <t>1886</t>
  </si>
  <si>
    <t>Envasado 3</t>
  </si>
  <si>
    <t>193</t>
  </si>
  <si>
    <t>Tostador Enlozado Loke</t>
  </si>
  <si>
    <t>207</t>
  </si>
  <si>
    <t>Ñoquera Madera mango redondo</t>
  </si>
  <si>
    <t>208</t>
  </si>
  <si>
    <t>Cucharita 13cm Azucarera Mad</t>
  </si>
  <si>
    <t>220</t>
  </si>
  <si>
    <t>Cuchara de 40 Cm - Madera x 12</t>
  </si>
  <si>
    <t>221</t>
  </si>
  <si>
    <t>Cuchara de 45 Cm Madera x 12</t>
  </si>
  <si>
    <t>222</t>
  </si>
  <si>
    <t>Bate Bife</t>
  </si>
  <si>
    <t>223</t>
  </si>
  <si>
    <t>Cuchara de 25 Cm - Madera x 12</t>
  </si>
  <si>
    <t>224</t>
  </si>
  <si>
    <t>Cuchara de 30 Cm - Madera x 12</t>
  </si>
  <si>
    <t>225</t>
  </si>
  <si>
    <t>Cuchara de 35 Cm Madera x 12</t>
  </si>
  <si>
    <t>229</t>
  </si>
  <si>
    <t>Ñoquera - Madera</t>
  </si>
  <si>
    <t>230</t>
  </si>
  <si>
    <t>Palo de amasar 30cm</t>
  </si>
  <si>
    <t>231</t>
  </si>
  <si>
    <t>Palo de amasar 40cm</t>
  </si>
  <si>
    <t>233</t>
  </si>
  <si>
    <t>Palo de amasar 50cm</t>
  </si>
  <si>
    <t>234</t>
  </si>
  <si>
    <t>Palo de Amasar Frances 40 cm</t>
  </si>
  <si>
    <t>2405</t>
  </si>
  <si>
    <t>PP POLIPROPILENO</t>
  </si>
  <si>
    <t>2425</t>
  </si>
  <si>
    <t>PS POLIESTIRENO</t>
  </si>
  <si>
    <t>2455</t>
  </si>
  <si>
    <t>ABS</t>
  </si>
  <si>
    <t>246</t>
  </si>
  <si>
    <t>Prensa Matambre</t>
  </si>
  <si>
    <t>248</t>
  </si>
  <si>
    <t>Cuchara 33 cm de cocina (x 12)</t>
  </si>
  <si>
    <t>2485</t>
  </si>
  <si>
    <t>NYLON CON CARGA AL 25</t>
  </si>
  <si>
    <t>250</t>
  </si>
  <si>
    <t>Mate Forrado</t>
  </si>
  <si>
    <t>253</t>
  </si>
  <si>
    <t>Mate Calabaza C/Virola.</t>
  </si>
  <si>
    <t>254</t>
  </si>
  <si>
    <t>Mate Calabaza S/Virola.</t>
  </si>
  <si>
    <t>255</t>
  </si>
  <si>
    <t>Mate Inox Térmico</t>
  </si>
  <si>
    <t>256</t>
  </si>
  <si>
    <t>Mate Madera Cerámica</t>
  </si>
  <si>
    <t>256zz</t>
  </si>
  <si>
    <t>Mate Madera Cerámica -inactivo</t>
  </si>
  <si>
    <t>280</t>
  </si>
  <si>
    <t>Manga Repostera + 4 Boquillas</t>
  </si>
  <si>
    <t>2955</t>
  </si>
  <si>
    <t>Cuchilla 505 Ac Inox</t>
  </si>
  <si>
    <t>299</t>
  </si>
  <si>
    <t>Muñeco Silicona Antiderrame</t>
  </si>
  <si>
    <t>311</t>
  </si>
  <si>
    <t>Cuchillo de torta</t>
  </si>
  <si>
    <t>312</t>
  </si>
  <si>
    <t>Pala De Torta Acero Inox</t>
  </si>
  <si>
    <t>315</t>
  </si>
  <si>
    <t>Pisa Papas Inox A y E</t>
  </si>
  <si>
    <t>321</t>
  </si>
  <si>
    <t>Rallador Cilin c/ carton</t>
  </si>
  <si>
    <t>322</t>
  </si>
  <si>
    <t>Tenedor Copetin x 6</t>
  </si>
  <si>
    <t>323</t>
  </si>
  <si>
    <t>Rallador Cilindrico Chico</t>
  </si>
  <si>
    <t>325</t>
  </si>
  <si>
    <t>Espatula Plastica</t>
  </si>
  <si>
    <t>326</t>
  </si>
  <si>
    <t>Espatula P/Cortar, Untar y Ser</t>
  </si>
  <si>
    <t>332</t>
  </si>
  <si>
    <t>Espatula Ac Inox A Y E</t>
  </si>
  <si>
    <t>333</t>
  </si>
  <si>
    <t>Espumadera  Ac Inox A Y E</t>
  </si>
  <si>
    <t>334</t>
  </si>
  <si>
    <t>Cuchara Salsera Inox A Y E</t>
  </si>
  <si>
    <t>335</t>
  </si>
  <si>
    <t>Cuchara Calada Inox A Y E</t>
  </si>
  <si>
    <t>336</t>
  </si>
  <si>
    <t>Cucharon Ac Inox A Y E</t>
  </si>
  <si>
    <t>338</t>
  </si>
  <si>
    <t>Espatula Lisa Ac Inox. A Y E</t>
  </si>
  <si>
    <t>339</t>
  </si>
  <si>
    <t>Cuchara spaghety mgo eva</t>
  </si>
  <si>
    <t>355</t>
  </si>
  <si>
    <t>Pisa Papas Nylon A y E</t>
  </si>
  <si>
    <t>356</t>
  </si>
  <si>
    <t>Cuchara spaghety con mgo</t>
  </si>
  <si>
    <t>357</t>
  </si>
  <si>
    <t>Tenedor Ac Inox. con mgo goma</t>
  </si>
  <si>
    <t>Rallador conico ac inox x12</t>
  </si>
  <si>
    <t>385</t>
  </si>
  <si>
    <t>Cuchara Fideo nylon mgo BLANCO</t>
  </si>
  <si>
    <t>386</t>
  </si>
  <si>
    <t>Esp Lisa nylon mgo BLANCO</t>
  </si>
  <si>
    <t>387</t>
  </si>
  <si>
    <t>Cucharon nylon mgo BLANCO</t>
  </si>
  <si>
    <t>388</t>
  </si>
  <si>
    <t>Espat. calada nylon mgo BLANCO</t>
  </si>
  <si>
    <t>389</t>
  </si>
  <si>
    <t>Espumadera nylon mgo BLANCO</t>
  </si>
  <si>
    <t>390</t>
  </si>
  <si>
    <t>Cuchara Calada Nylon 1 Pza</t>
  </si>
  <si>
    <t>391</t>
  </si>
  <si>
    <t>Cuchara Pulpo Nylon 1 Pza</t>
  </si>
  <si>
    <t>392</t>
  </si>
  <si>
    <t>Cucharon Nylon 1 Pza</t>
  </si>
  <si>
    <t>393</t>
  </si>
  <si>
    <t>Espatula Calada Nylon 1 Pza</t>
  </si>
  <si>
    <t>394</t>
  </si>
  <si>
    <t>Espatula Lisa Nylon 1 Pza</t>
  </si>
  <si>
    <t>395</t>
  </si>
  <si>
    <t>Descorazonador de Manz Envasad</t>
  </si>
  <si>
    <t>396</t>
  </si>
  <si>
    <t>Enrulador de Manteca -Envasado</t>
  </si>
  <si>
    <t>397</t>
  </si>
  <si>
    <t>Espumadera nylon con mgo x 12</t>
  </si>
  <si>
    <t>441</t>
  </si>
  <si>
    <t>Colador de Pasta Plást</t>
  </si>
  <si>
    <t>498</t>
  </si>
  <si>
    <t>Destapador Pie Cromado</t>
  </si>
  <si>
    <t>499</t>
  </si>
  <si>
    <t>Destapador Pie Color</t>
  </si>
  <si>
    <t>500</t>
  </si>
  <si>
    <t>Abrelata Uña Pata</t>
  </si>
  <si>
    <t>501</t>
  </si>
  <si>
    <t>Abrelatas Manija A y E</t>
  </si>
  <si>
    <t>502</t>
  </si>
  <si>
    <t>Abrelatas Mariposa</t>
  </si>
  <si>
    <t>502T</t>
  </si>
  <si>
    <t>Abrelatas Mariposa Expo 2023</t>
  </si>
  <si>
    <t>504</t>
  </si>
  <si>
    <t>Afila Chuchillos</t>
  </si>
  <si>
    <t>505</t>
  </si>
  <si>
    <t>Pelador Plastico - Env.</t>
  </si>
  <si>
    <t>505I</t>
  </si>
  <si>
    <t>Pelador Plastico</t>
  </si>
  <si>
    <t>506</t>
  </si>
  <si>
    <t>Abrelata Uña</t>
  </si>
  <si>
    <t>507</t>
  </si>
  <si>
    <t>Rompenueces.</t>
  </si>
  <si>
    <t>508</t>
  </si>
  <si>
    <t>Sacafuentes</t>
  </si>
  <si>
    <t>508D</t>
  </si>
  <si>
    <t>Sacafuentes A y E</t>
  </si>
  <si>
    <t>509</t>
  </si>
  <si>
    <t>Paleta Batidora A y E</t>
  </si>
  <si>
    <t>510</t>
  </si>
  <si>
    <t>Abrelata Uña Cromado</t>
  </si>
  <si>
    <t>510T</t>
  </si>
  <si>
    <t>Abrelata Uña Cromado T</t>
  </si>
  <si>
    <t>511</t>
  </si>
  <si>
    <t>3 en 1 Arm y Env</t>
  </si>
  <si>
    <t>512</t>
  </si>
  <si>
    <t>Abrelata Mariposa Cap Plastico</t>
  </si>
  <si>
    <t>513</t>
  </si>
  <si>
    <t>Pelador Mgo Metalico Crom</t>
  </si>
  <si>
    <t>515</t>
  </si>
  <si>
    <t>Batidor Resorte A y E</t>
  </si>
  <si>
    <t>516</t>
  </si>
  <si>
    <t>Destapacorona Suelto</t>
  </si>
  <si>
    <t>517</t>
  </si>
  <si>
    <t>Pinza Gastronomica</t>
  </si>
  <si>
    <t>518</t>
  </si>
  <si>
    <t>Sacafuente Pizzero</t>
  </si>
  <si>
    <t>519</t>
  </si>
  <si>
    <t>Cuchillo de Untar * 2 Mgo Made</t>
  </si>
  <si>
    <t>520</t>
  </si>
  <si>
    <t>Sacacorchos Mozo  A y E</t>
  </si>
  <si>
    <t>521</t>
  </si>
  <si>
    <t>Sacacorcho Comb C/Sacatap Arm</t>
  </si>
  <si>
    <t>Sacacorcho Doble Aleta Premium</t>
  </si>
  <si>
    <t>523</t>
  </si>
  <si>
    <t>Doble Aleta</t>
  </si>
  <si>
    <t>524</t>
  </si>
  <si>
    <t>Destapador Espumante</t>
  </si>
  <si>
    <t>525</t>
  </si>
  <si>
    <t>Sac. Cabo De Madera</t>
  </si>
  <si>
    <t>526</t>
  </si>
  <si>
    <t>Doble Aleta Plastico</t>
  </si>
  <si>
    <t>530</t>
  </si>
  <si>
    <t>Sacacorchos Mozo Pint A Y E</t>
  </si>
  <si>
    <t>531</t>
  </si>
  <si>
    <t>Sacacorcho Comb Pint A y E</t>
  </si>
  <si>
    <t>532</t>
  </si>
  <si>
    <t>Cuchara Helado</t>
  </si>
  <si>
    <t>534</t>
  </si>
  <si>
    <t>Cepillo Lavavajilla</t>
  </si>
  <si>
    <t>535</t>
  </si>
  <si>
    <t>Cepillo Limpia Vaso Mamadera</t>
  </si>
  <si>
    <t>542</t>
  </si>
  <si>
    <t>Ahueca Papas</t>
  </si>
  <si>
    <t>543</t>
  </si>
  <si>
    <t>Ahueca Frutas</t>
  </si>
  <si>
    <t>544</t>
  </si>
  <si>
    <t>Batidor Pera</t>
  </si>
  <si>
    <t>546</t>
  </si>
  <si>
    <t>Corta Queso Cromado</t>
  </si>
  <si>
    <t>547</t>
  </si>
  <si>
    <t>Corta Torta -Envasado</t>
  </si>
  <si>
    <t>550</t>
  </si>
  <si>
    <t>Filtro Bombilla</t>
  </si>
  <si>
    <t>551</t>
  </si>
  <si>
    <t>Cuchillo de Untar X 2</t>
  </si>
  <si>
    <t>55215</t>
  </si>
  <si>
    <t>Palo de Amasar  40 cm de largo</t>
  </si>
  <si>
    <t>55219</t>
  </si>
  <si>
    <t>Prensa Matambre Mad</t>
  </si>
  <si>
    <t>554</t>
  </si>
  <si>
    <t>Cucharita Matera</t>
  </si>
  <si>
    <t>555</t>
  </si>
  <si>
    <t>Cepillo Limpia Bombilla.</t>
  </si>
  <si>
    <t>556</t>
  </si>
  <si>
    <t>Saca Yerba</t>
  </si>
  <si>
    <t>557</t>
  </si>
  <si>
    <t>Bombilla Resorte Chata</t>
  </si>
  <si>
    <t>558</t>
  </si>
  <si>
    <t>Bombilla Resorte Tradicional</t>
  </si>
  <si>
    <t>559</t>
  </si>
  <si>
    <t>Corta Ravioles</t>
  </si>
  <si>
    <t>560</t>
  </si>
  <si>
    <t>Pinza Chica</t>
  </si>
  <si>
    <t>561</t>
  </si>
  <si>
    <t>Pinza Larga x 12</t>
  </si>
  <si>
    <t>562</t>
  </si>
  <si>
    <t>Corta pizza tradicional</t>
  </si>
  <si>
    <t>563</t>
  </si>
  <si>
    <t>Pza Articulada Madera Ensalada</t>
  </si>
  <si>
    <t>564</t>
  </si>
  <si>
    <t>Corta Pizza Gastronomico Acero</t>
  </si>
  <si>
    <t>565</t>
  </si>
  <si>
    <t>Pinza Hielo</t>
  </si>
  <si>
    <t>569</t>
  </si>
  <si>
    <t>Pelanaranjas X 1 Display</t>
  </si>
  <si>
    <t>570</t>
  </si>
  <si>
    <t>Pala de Canelones A y E</t>
  </si>
  <si>
    <t>570J</t>
  </si>
  <si>
    <t>Pala de Canelones</t>
  </si>
  <si>
    <t>573</t>
  </si>
  <si>
    <t>Bombilla Colores Metalizados</t>
  </si>
  <si>
    <t>574</t>
  </si>
  <si>
    <t>Corta Quesos Blandos Mgo Alamb</t>
  </si>
  <si>
    <t>575</t>
  </si>
  <si>
    <t>Tapon Negro Metalizado * 1</t>
  </si>
  <si>
    <t>577</t>
  </si>
  <si>
    <t>Tapon Negro Premium</t>
  </si>
  <si>
    <t>578</t>
  </si>
  <si>
    <t>Descarozador de Aceitunas</t>
  </si>
  <si>
    <t>579</t>
  </si>
  <si>
    <t>Tapon Comun Color *1</t>
  </si>
  <si>
    <t>581</t>
  </si>
  <si>
    <t>Sac. Cabo Plastico x 12</t>
  </si>
  <si>
    <t>581T</t>
  </si>
  <si>
    <t>Sac. Cabo Plastico Tiras Impul</t>
  </si>
  <si>
    <t>586</t>
  </si>
  <si>
    <t>Pelador Mango Ergonomico</t>
  </si>
  <si>
    <t>587</t>
  </si>
  <si>
    <t>Pelador Cuchilla corte Laser</t>
  </si>
  <si>
    <t>587C</t>
  </si>
  <si>
    <t>Cuchilla Laser</t>
  </si>
  <si>
    <t>587T</t>
  </si>
  <si>
    <t>Pelador Cuchilla corte Laser T</t>
  </si>
  <si>
    <t>Pelador Mgo Plastico</t>
  </si>
  <si>
    <t>591</t>
  </si>
  <si>
    <t>Despolvillador de Yerba</t>
  </si>
  <si>
    <t>592</t>
  </si>
  <si>
    <t>Tostador.</t>
  </si>
  <si>
    <t>593</t>
  </si>
  <si>
    <t>Tostador Enlozado</t>
  </si>
  <si>
    <t>594</t>
  </si>
  <si>
    <t>Pinza de fideos</t>
  </si>
  <si>
    <t>595</t>
  </si>
  <si>
    <t>Pinza de Fiambre Mgo Pl. x 12</t>
  </si>
  <si>
    <t>596</t>
  </si>
  <si>
    <t>Pinza de Ensalada Mgo Pl x 12</t>
  </si>
  <si>
    <t>597</t>
  </si>
  <si>
    <t>Mate Autocebante</t>
  </si>
  <si>
    <t>Pinza 30 cm Ac Inox c/ Silic</t>
  </si>
  <si>
    <t>654</t>
  </si>
  <si>
    <t>Bombilla Autolimpiante Inox</t>
  </si>
  <si>
    <t>657</t>
  </si>
  <si>
    <t>Bombilla Autolimpiante Niq</t>
  </si>
  <si>
    <t>658</t>
  </si>
  <si>
    <t>Bombilla Plana Ancha Metalizad</t>
  </si>
  <si>
    <t>659</t>
  </si>
  <si>
    <t>Bombilla Pico de Loro Acero In</t>
  </si>
  <si>
    <t>666666</t>
  </si>
  <si>
    <t>VARIOS</t>
  </si>
  <si>
    <t>7036801</t>
  </si>
  <si>
    <t>Rallador Cilindrico</t>
  </si>
  <si>
    <t>7037801</t>
  </si>
  <si>
    <t>Espatula Lisa Nylon</t>
  </si>
  <si>
    <t>7043801</t>
  </si>
  <si>
    <t>COLADOR 10 CM</t>
  </si>
  <si>
    <t>724</t>
  </si>
  <si>
    <t>Vaso Fernetero Cerámica</t>
  </si>
  <si>
    <t>7581800</t>
  </si>
  <si>
    <t>Sac. Cabo Plastico</t>
  </si>
  <si>
    <t>823</t>
  </si>
  <si>
    <t>Exprimidor en Tres Cuerpos</t>
  </si>
  <si>
    <t>Mandolina Rallador</t>
  </si>
  <si>
    <t>Espatula Lisa Ac. Inox</t>
  </si>
  <si>
    <t>Cuchara  Ac. Inox</t>
  </si>
  <si>
    <t>Cucharon  Ac. Inox</t>
  </si>
  <si>
    <t>Cuchara Fideos  Ac. Inox</t>
  </si>
  <si>
    <t>Espatula Calada Ac. Inox</t>
  </si>
  <si>
    <t>Cuchara Calada  Ac. Inox</t>
  </si>
  <si>
    <t>Espumadera Ac. Inox</t>
  </si>
  <si>
    <t>D208</t>
  </si>
  <si>
    <t>Cucharita 13cm Azucarera Mader</t>
  </si>
  <si>
    <t>Impreso por:</t>
  </si>
  <si>
    <t>MARIANELA</t>
  </si>
  <si>
    <t>Hoja Nro:</t>
  </si>
  <si>
    <t>de</t>
  </si>
  <si>
    <t>División Unica</t>
  </si>
  <si>
    <t>031L</t>
  </si>
  <si>
    <t>FILTRO DE CAFE</t>
  </si>
  <si>
    <t>034L</t>
  </si>
  <si>
    <t>FILTRO DE CAFE GASTRONOMICO</t>
  </si>
  <si>
    <t>Cernidor de Harina Ac. Inox</t>
  </si>
  <si>
    <t>035EL</t>
  </si>
  <si>
    <t>043</t>
  </si>
  <si>
    <t>TRES EN UNO</t>
  </si>
  <si>
    <t>052</t>
  </si>
  <si>
    <t>LAVAVAJILLA C/MGO.ARTE</t>
  </si>
  <si>
    <t>053</t>
  </si>
  <si>
    <t>PINZA DE FIAMBRE x 12</t>
  </si>
  <si>
    <t>054</t>
  </si>
  <si>
    <t>PINZA DE ENSALADAS x 12</t>
  </si>
  <si>
    <t>055</t>
  </si>
  <si>
    <t>PINZA DE FIDEOS x 12</t>
  </si>
  <si>
    <t>056</t>
  </si>
  <si>
    <t>DESCAROZADOR  DE ACEITUNAS</t>
  </si>
  <si>
    <t>058L</t>
  </si>
  <si>
    <t>CIERRA BOLSA X 2</t>
  </si>
  <si>
    <t>059L</t>
  </si>
  <si>
    <t>CUCHILLITO DE UNTAR PLAST X 2</t>
  </si>
  <si>
    <t>0675</t>
  </si>
  <si>
    <t>PP COPOLIMERO 2630 PC</t>
  </si>
  <si>
    <t>067L</t>
  </si>
  <si>
    <t>097</t>
  </si>
  <si>
    <t>AFILA CUCHILLO CON BASE VERDE</t>
  </si>
  <si>
    <t>099</t>
  </si>
  <si>
    <t>PELAPAPAS MGO PLAST</t>
  </si>
  <si>
    <t>1</t>
  </si>
  <si>
    <t>102EL</t>
  </si>
  <si>
    <t>106EL</t>
  </si>
  <si>
    <t>111K</t>
  </si>
  <si>
    <t>ABRELATAS MARIPOSA KREA</t>
  </si>
  <si>
    <t>112K</t>
  </si>
  <si>
    <t>Abrelata Uña Krea x 12</t>
  </si>
  <si>
    <t>118K</t>
  </si>
  <si>
    <t>AFILA CUCHILLO</t>
  </si>
  <si>
    <t>121K</t>
  </si>
  <si>
    <t>CORTA QUESO</t>
  </si>
  <si>
    <t>1246</t>
  </si>
  <si>
    <t>ARMADO Y ENVASADO</t>
  </si>
  <si>
    <t>129K</t>
  </si>
  <si>
    <t>CUCHILLO DE UNTAR X2 KREA.</t>
  </si>
  <si>
    <t>1365</t>
  </si>
  <si>
    <t>1375</t>
  </si>
  <si>
    <t>139K</t>
  </si>
  <si>
    <t>PISA PAPAS INOXIDABLE KREA.</t>
  </si>
  <si>
    <t>150K</t>
  </si>
  <si>
    <t>CUCHARA DE MADERA 35 CM</t>
  </si>
  <si>
    <t>208L</t>
  </si>
  <si>
    <t>220L</t>
  </si>
  <si>
    <t>CUCHARA MAD 40 CM X 12</t>
  </si>
  <si>
    <t>222L</t>
  </si>
  <si>
    <t>BATE BIFE MADERA</t>
  </si>
  <si>
    <t>223L</t>
  </si>
  <si>
    <t>CUCHARA MADERA 25 x 12</t>
  </si>
  <si>
    <t>224L</t>
  </si>
  <si>
    <t>CUCHARA MAD. 30 CM X 12</t>
  </si>
  <si>
    <t>225L</t>
  </si>
  <si>
    <t>CUCHARA MAD 35 CM X 12</t>
  </si>
  <si>
    <t>248L</t>
  </si>
  <si>
    <t>CUCHARA COCINA 33 CM x 12</t>
  </si>
  <si>
    <t>307</t>
  </si>
  <si>
    <t>LIMPIA MAMADERA A/I</t>
  </si>
  <si>
    <t>315L</t>
  </si>
  <si>
    <t>PISA PAPAS ACERO INOX</t>
  </si>
  <si>
    <t>323L</t>
  </si>
  <si>
    <t>RALLADOR CILINDRICO CHICO</t>
  </si>
  <si>
    <t>328EL</t>
  </si>
  <si>
    <t>Rallador plano a/i 3 usos</t>
  </si>
  <si>
    <t>332L</t>
  </si>
  <si>
    <t>espatula acero inox.</t>
  </si>
  <si>
    <t>333L</t>
  </si>
  <si>
    <t>ESPUMADERA AC.INOX</t>
  </si>
  <si>
    <t>334L</t>
  </si>
  <si>
    <t>CUCHARA SALSERA INOX</t>
  </si>
  <si>
    <t>337L</t>
  </si>
  <si>
    <t>Tenedor Ac Inox. A Y E</t>
  </si>
  <si>
    <t>338L</t>
  </si>
  <si>
    <t>360EL</t>
  </si>
  <si>
    <t>Rallador 4 lados a/i mgo plast</t>
  </si>
  <si>
    <t>361EL</t>
  </si>
  <si>
    <t>Rallador 4 lados a/i</t>
  </si>
  <si>
    <t>366EL</t>
  </si>
  <si>
    <t>Rallador Conico 22 cm</t>
  </si>
  <si>
    <t>367EL</t>
  </si>
  <si>
    <t>Rallador hexagonal</t>
  </si>
  <si>
    <t>438E-</t>
  </si>
  <si>
    <t>Colador 20</t>
  </si>
  <si>
    <t>438EL</t>
  </si>
  <si>
    <t>439EL</t>
  </si>
  <si>
    <t>Colador de Pasta  Ac. Inox.</t>
  </si>
  <si>
    <t>452</t>
  </si>
  <si>
    <t>Espumadera Nylon c/Mango</t>
  </si>
  <si>
    <t>455</t>
  </si>
  <si>
    <t>Espatula Calada c/Mango</t>
  </si>
  <si>
    <t>456</t>
  </si>
  <si>
    <t>Espatula Lisa Nylon c/Mango</t>
  </si>
  <si>
    <t>501BL</t>
  </si>
  <si>
    <t>ABRELATAS A MANIJA "Bequisa"</t>
  </si>
  <si>
    <t>501L</t>
  </si>
  <si>
    <t>ABRELATAS A MANIJA</t>
  </si>
  <si>
    <t>502L</t>
  </si>
  <si>
    <t>ABRELATAS A MARIPOSA</t>
  </si>
  <si>
    <t>503EL</t>
  </si>
  <si>
    <t>Abrelata  doble engranaje</t>
  </si>
  <si>
    <t>504L</t>
  </si>
  <si>
    <t>AFILA CUCHILLOS</t>
  </si>
  <si>
    <t>505L</t>
  </si>
  <si>
    <t>PELADOR MGO PLASTICO</t>
  </si>
  <si>
    <t>506L</t>
  </si>
  <si>
    <t>ABRELATAS UÑA</t>
  </si>
  <si>
    <t>510L</t>
  </si>
  <si>
    <t>512L</t>
  </si>
  <si>
    <t>Abrelata mariposa plast x 12</t>
  </si>
  <si>
    <t>513L</t>
  </si>
  <si>
    <t>PELADOR  MGO METALICO</t>
  </si>
  <si>
    <t>515L</t>
  </si>
  <si>
    <t>BATIDOR RESORTE</t>
  </si>
  <si>
    <t>523L</t>
  </si>
  <si>
    <t>SACACORCHO DOBLE  ALETA</t>
  </si>
  <si>
    <t>534L</t>
  </si>
  <si>
    <t>CEPILLO LAVAVAJILLA</t>
  </si>
  <si>
    <t>535L</t>
  </si>
  <si>
    <t>CEPILLO LIMPIA VASO MAMADERA</t>
  </si>
  <si>
    <t>540EL</t>
  </si>
  <si>
    <t>SACACORCHO PREMIUM</t>
  </si>
  <si>
    <t>541EL</t>
  </si>
  <si>
    <t>544L</t>
  </si>
  <si>
    <t>BATIDOR PERA ALAMBRE</t>
  </si>
  <si>
    <t>546L</t>
  </si>
  <si>
    <t>CORTA  QUESO</t>
  </si>
  <si>
    <t>551L</t>
  </si>
  <si>
    <t>CUCHILLO UNTAR MGO PLAST</t>
  </si>
  <si>
    <t>556L</t>
  </si>
  <si>
    <t>SACA YERBA x 24</t>
  </si>
  <si>
    <t>574EL</t>
  </si>
  <si>
    <t>Corta Quesos Blandos</t>
  </si>
  <si>
    <t>580L</t>
  </si>
  <si>
    <t>Mini Batidor</t>
  </si>
  <si>
    <t>582EL</t>
  </si>
  <si>
    <t>583EL</t>
  </si>
  <si>
    <t>584EL</t>
  </si>
  <si>
    <t>586L</t>
  </si>
  <si>
    <t>PELAPAPAS MGO ERGONOMICO</t>
  </si>
  <si>
    <t>589EL</t>
  </si>
  <si>
    <t>Pelador Mgo Plastico Celestes</t>
  </si>
  <si>
    <t>590EL</t>
  </si>
  <si>
    <t>PINCEL SILICONA 11GMS</t>
  </si>
  <si>
    <t>598EL</t>
  </si>
  <si>
    <t>Pelador Ng Dentado</t>
  </si>
  <si>
    <t>601EL</t>
  </si>
  <si>
    <t>606EL</t>
  </si>
  <si>
    <t>609</t>
  </si>
  <si>
    <t>PISA PAPAS Ac Inox</t>
  </si>
  <si>
    <t>613</t>
  </si>
  <si>
    <t>Cuchara Calada 1 Pieza Ac. Ino</t>
  </si>
  <si>
    <t>615</t>
  </si>
  <si>
    <t>BATIDOR RESORTE x 12</t>
  </si>
  <si>
    <t>618</t>
  </si>
  <si>
    <t>Espatula repost gast de goma</t>
  </si>
  <si>
    <t>630</t>
  </si>
  <si>
    <t>Cucharon ac inox c/mgo Chef</t>
  </si>
  <si>
    <t>631</t>
  </si>
  <si>
    <t>Espumadera Acero Inox</t>
  </si>
  <si>
    <t>633</t>
  </si>
  <si>
    <t>Cuchara Salsera Ac. Inox</t>
  </si>
  <si>
    <t>634</t>
  </si>
  <si>
    <t>Cuchara Calada Ac. Inox</t>
  </si>
  <si>
    <t>635</t>
  </si>
  <si>
    <t>Espatula Lisa Acero Inox</t>
  </si>
  <si>
    <t>636</t>
  </si>
  <si>
    <t>Espatula Calada Acero Inox</t>
  </si>
  <si>
    <t>637</t>
  </si>
  <si>
    <t>Cuchara Spaghetti Ac.inox</t>
  </si>
  <si>
    <t>700</t>
  </si>
  <si>
    <t>DESTAPACA CORONA PINT. X 1</t>
  </si>
  <si>
    <t>701</t>
  </si>
  <si>
    <t>Abrelata A Manija</t>
  </si>
  <si>
    <t>702EN</t>
  </si>
  <si>
    <t>Abrelata Mariposa EN</t>
  </si>
  <si>
    <t>7033800</t>
  </si>
  <si>
    <t>CUCHARON AC.INOX.VERDE</t>
  </si>
  <si>
    <t>7034800</t>
  </si>
  <si>
    <t>ESPUMADERA ACERO INOXIDABLE</t>
  </si>
  <si>
    <t>7036800</t>
  </si>
  <si>
    <t>CUCHARA AC.INOX. VERDE</t>
  </si>
  <si>
    <t>706</t>
  </si>
  <si>
    <t>ABRELATAS UÑAS</t>
  </si>
  <si>
    <t>7062800</t>
  </si>
  <si>
    <t>ESPATULA LISA VERDE</t>
  </si>
  <si>
    <t>7063800</t>
  </si>
  <si>
    <t>DESTAPACORONA VERDE X1</t>
  </si>
  <si>
    <t>707</t>
  </si>
  <si>
    <t xml:space="preserve"> ROMPENUECES</t>
  </si>
  <si>
    <t>7075800</t>
  </si>
  <si>
    <t>ESPATULA ACERO INOX.VERDE</t>
  </si>
  <si>
    <t>708</t>
  </si>
  <si>
    <t>SACAFUENTE</t>
  </si>
  <si>
    <t>709</t>
  </si>
  <si>
    <t>DESCORAZONADOR DE  MANZANA</t>
  </si>
  <si>
    <t>7098800</t>
  </si>
  <si>
    <t>ABRELATAS UÑA VERDE</t>
  </si>
  <si>
    <t>710</t>
  </si>
  <si>
    <t>ENRULADOR DE  MANTECA</t>
  </si>
  <si>
    <t>7105800</t>
  </si>
  <si>
    <t>PELAPAPAS MGO METALICO VERDE</t>
  </si>
  <si>
    <t>713</t>
  </si>
  <si>
    <t>PELAPAPAS METALICO</t>
  </si>
  <si>
    <t>715</t>
  </si>
  <si>
    <t>CIERRA BOLSA x 4 UNID</t>
  </si>
  <si>
    <t>717</t>
  </si>
  <si>
    <t>Cuchillo de Untar Acrilico Tra</t>
  </si>
  <si>
    <t>719</t>
  </si>
  <si>
    <t>CUCHILLITO UNTAR MGO MADERA X</t>
  </si>
  <si>
    <t>720</t>
  </si>
  <si>
    <t>AHUECA PAPA</t>
  </si>
  <si>
    <t>722</t>
  </si>
  <si>
    <t>AHUECA FRUTAS</t>
  </si>
  <si>
    <t>723</t>
  </si>
  <si>
    <t>SACACORCHO  DOBLE ALETA</t>
  </si>
  <si>
    <t>725</t>
  </si>
  <si>
    <t>Sacacorcho Madera</t>
  </si>
  <si>
    <t>727EN</t>
  </si>
  <si>
    <t>Sacacorcho Doble Imp.</t>
  </si>
  <si>
    <t>730</t>
  </si>
  <si>
    <t>SACACORCHO  TIPO MOZO COLOR</t>
  </si>
  <si>
    <t>730D</t>
  </si>
  <si>
    <t>SACACORCHO  TIPO MOZO</t>
  </si>
  <si>
    <t>731</t>
  </si>
  <si>
    <t>SACACOCRCHO COMBINADO COLOR</t>
  </si>
  <si>
    <t>731D</t>
  </si>
  <si>
    <t>SACACOCRCHO COMB COLOR X24</t>
  </si>
  <si>
    <t>732</t>
  </si>
  <si>
    <t>CUCHARA HELADO</t>
  </si>
  <si>
    <t>7338801</t>
  </si>
  <si>
    <t>Espatula de ac inox . A Y E</t>
  </si>
  <si>
    <t>735</t>
  </si>
  <si>
    <t>Sacacorcho Ergonomico Plast</t>
  </si>
  <si>
    <t>7372800</t>
  </si>
  <si>
    <t>Espatula 3 pzas nylon</t>
  </si>
  <si>
    <t>755</t>
  </si>
  <si>
    <t>BOMB. RESORTE COLOR METALIZADO</t>
  </si>
  <si>
    <t>7559801</t>
  </si>
  <si>
    <t>CORTA RAVIOLE</t>
  </si>
  <si>
    <t>758</t>
  </si>
  <si>
    <t>BOMB. PLANA ANCHA MET</t>
  </si>
  <si>
    <t>759</t>
  </si>
  <si>
    <t>BOMB. PICO DE LORO AC INOX</t>
  </si>
  <si>
    <t>760</t>
  </si>
  <si>
    <t>Filtro de Bombilla</t>
  </si>
  <si>
    <t>761</t>
  </si>
  <si>
    <t>CUCHARITA  MATERA</t>
  </si>
  <si>
    <t>762</t>
  </si>
  <si>
    <t>BOMBILLA  RESORTE CHATA</t>
  </si>
  <si>
    <t>7631805</t>
  </si>
  <si>
    <t>Espumadera ac inox c/Mgo x24</t>
  </si>
  <si>
    <t>7636805</t>
  </si>
  <si>
    <t>Espatula de ac inox x 24 uni</t>
  </si>
  <si>
    <t>7637906</t>
  </si>
  <si>
    <t>Cuchara fideos ac inox x 24 un</t>
  </si>
  <si>
    <t>764</t>
  </si>
  <si>
    <t>LIMPIA BOMBILLA</t>
  </si>
  <si>
    <t>7641800</t>
  </si>
  <si>
    <t>Espumadera mgo alamb crom</t>
  </si>
  <si>
    <t>7642800</t>
  </si>
  <si>
    <t>Tenedor mgo alam cromado</t>
  </si>
  <si>
    <t>7645800</t>
  </si>
  <si>
    <t>Espatula lisa mgo alamb crom</t>
  </si>
  <si>
    <t>7646800</t>
  </si>
  <si>
    <t>Espatula mgo alamb cromado</t>
  </si>
  <si>
    <t>7661800</t>
  </si>
  <si>
    <t>PINCEL PASTELERO VERDE</t>
  </si>
  <si>
    <t>7662800</t>
  </si>
  <si>
    <t>SACAFUENTE DE ALAMBRE</t>
  </si>
  <si>
    <t>769</t>
  </si>
  <si>
    <t>BOMB. AUTOLIMPIANTE AC. INOX</t>
  </si>
  <si>
    <t>770</t>
  </si>
  <si>
    <t>MATE CALABAZA S/VIROLA</t>
  </si>
  <si>
    <t>7750800</t>
  </si>
  <si>
    <t>BOMBILLA BASICA CORTA CURVA</t>
  </si>
  <si>
    <t>7751800</t>
  </si>
  <si>
    <t>BOMBILLA BASICA CORTA RECTA</t>
  </si>
  <si>
    <t>7756800</t>
  </si>
  <si>
    <t>BOMBILLA COCO CURVA  ENTRERIAN</t>
  </si>
  <si>
    <t>7760800</t>
  </si>
  <si>
    <t>FILTRO PARA BOMBILLA</t>
  </si>
  <si>
    <t>7766800</t>
  </si>
  <si>
    <t>BOMB.SUPER NIQUEL.LARG.RECTA</t>
  </si>
  <si>
    <t>789</t>
  </si>
  <si>
    <t>PISA PAPA NYLON</t>
  </si>
  <si>
    <t>790</t>
  </si>
  <si>
    <t>MATE CALABAZA C/VIROLA</t>
  </si>
  <si>
    <t>792</t>
  </si>
  <si>
    <t>MATE FORRADO</t>
  </si>
  <si>
    <t>800</t>
  </si>
  <si>
    <t>PINZA CHICA DISPLAY</t>
  </si>
  <si>
    <t>801</t>
  </si>
  <si>
    <t>PINZA GRANDE ALAMBRE</t>
  </si>
  <si>
    <t>801Z</t>
  </si>
  <si>
    <t>PINZA GRANDE DISPLAY</t>
  </si>
  <si>
    <t>802</t>
  </si>
  <si>
    <t>BATIDOR PERA DISPLAY</t>
  </si>
  <si>
    <t>809</t>
  </si>
  <si>
    <t>CORTA  QUESO.</t>
  </si>
  <si>
    <t>810EL</t>
  </si>
  <si>
    <t>Corta queso semiduros a/i</t>
  </si>
  <si>
    <t>811EL</t>
  </si>
  <si>
    <t>Corta pizza mgo ergonomico</t>
  </si>
  <si>
    <t>816</t>
  </si>
  <si>
    <t>817</t>
  </si>
  <si>
    <t>Tapon De Vino/Cerveza Negro</t>
  </si>
  <si>
    <t>817EL</t>
  </si>
  <si>
    <t>Rallador  mgo ergonomico</t>
  </si>
  <si>
    <t>COLADOR 7 CM</t>
  </si>
  <si>
    <t>823L</t>
  </si>
  <si>
    <t>EXPRIMIDOR DE CITRICOS</t>
  </si>
  <si>
    <t>824</t>
  </si>
  <si>
    <t>COLADOR  8 CM</t>
  </si>
  <si>
    <t>825</t>
  </si>
  <si>
    <t>COLADOR  10 CM</t>
  </si>
  <si>
    <t>826</t>
  </si>
  <si>
    <t>COLADOR 13</t>
  </si>
  <si>
    <t>828</t>
  </si>
  <si>
    <t>COLADOR 16 CM</t>
  </si>
  <si>
    <t>830</t>
  </si>
  <si>
    <t>COLADOR 20 CM</t>
  </si>
  <si>
    <t>836</t>
  </si>
  <si>
    <t>FILTRO PARA CAFE</t>
  </si>
  <si>
    <t>RALLADOR CILINDRICO MINI</t>
  </si>
  <si>
    <t>839</t>
  </si>
  <si>
    <t>RALLADOR CHICO CHOCOLATE  .</t>
  </si>
  <si>
    <t>840</t>
  </si>
  <si>
    <t>RALLADOR  .CILINDRICO</t>
  </si>
  <si>
    <t>842</t>
  </si>
  <si>
    <t>ESPATULA PALA PLASTICA X24</t>
  </si>
  <si>
    <t>843</t>
  </si>
  <si>
    <t>CUCHARA CALADA PLASTICA X24</t>
  </si>
  <si>
    <t>844</t>
  </si>
  <si>
    <t>CUCHARA PULPO PLASTICA X24</t>
  </si>
  <si>
    <t>845</t>
  </si>
  <si>
    <t>CUCHARON PLASTICO X24</t>
  </si>
  <si>
    <t>846</t>
  </si>
  <si>
    <t>ESPATULA CALADA PLASTICA x 24</t>
  </si>
  <si>
    <t>847</t>
  </si>
  <si>
    <t>ESPATULA REPOSTERA PLASTICA</t>
  </si>
  <si>
    <t>848</t>
  </si>
  <si>
    <t>ESPATULA REPOSTERA PLAST 3 USO</t>
  </si>
  <si>
    <t>852</t>
  </si>
  <si>
    <t>PINZA HIELO DISPLAY</t>
  </si>
  <si>
    <t>856</t>
  </si>
  <si>
    <t>PALA TORTA</t>
  </si>
  <si>
    <t>857</t>
  </si>
  <si>
    <t>CUCHILLO DE TORTA</t>
  </si>
  <si>
    <t>858</t>
  </si>
  <si>
    <t>Pala de Canelones Acero Inox</t>
  </si>
  <si>
    <t>859</t>
  </si>
  <si>
    <t>CORTA RAVIOLES</t>
  </si>
  <si>
    <t>862</t>
  </si>
  <si>
    <t>Corta Pizza familiar x 12</t>
  </si>
  <si>
    <t>863</t>
  </si>
  <si>
    <t>CORTA PIZZA GRANDE</t>
  </si>
  <si>
    <t>864</t>
  </si>
  <si>
    <t>PINCEL PASTELERO.</t>
  </si>
  <si>
    <t>867</t>
  </si>
  <si>
    <t>FILTRO DE TELA GASTRONOMICO</t>
  </si>
  <si>
    <t>870EL</t>
  </si>
  <si>
    <t>Mandolina 3 grosores</t>
  </si>
  <si>
    <t>878</t>
  </si>
  <si>
    <t>CUCHILLITOS DE UNTAR MGO PLAST</t>
  </si>
  <si>
    <t>900</t>
  </si>
  <si>
    <t>PRENSA MATAMBRE DISPLAY</t>
  </si>
  <si>
    <t>901</t>
  </si>
  <si>
    <t>CUCHARA MADERA 35 DISPLAY x 12</t>
  </si>
  <si>
    <t>902</t>
  </si>
  <si>
    <t>CUCHARA MADERA 45 DISPLAY x 12</t>
  </si>
  <si>
    <t>903</t>
  </si>
  <si>
    <t>Palo de Amasar 30cm</t>
  </si>
  <si>
    <t>904</t>
  </si>
  <si>
    <t>Palo de Amasar 40cm</t>
  </si>
  <si>
    <t>908</t>
  </si>
  <si>
    <t>CUCHARA DE COCINA 33CM x 12</t>
  </si>
  <si>
    <t>909</t>
  </si>
  <si>
    <t>ÑOQUERA DISPLAY</t>
  </si>
  <si>
    <t>910</t>
  </si>
  <si>
    <t>BATE BIFE DISPLAY</t>
  </si>
  <si>
    <t>911</t>
  </si>
  <si>
    <t>CUCHARA MADERA 30 x 12 unid</t>
  </si>
  <si>
    <t>920</t>
  </si>
  <si>
    <t>CUCHARA MADERA 40 DISPLAY x 12</t>
  </si>
  <si>
    <t>922</t>
  </si>
  <si>
    <t>CUCHARA MADERA 25 x 12 unid</t>
  </si>
  <si>
    <t>931EL</t>
  </si>
  <si>
    <t>932EL</t>
  </si>
  <si>
    <t>933EL</t>
  </si>
  <si>
    <t>934EL</t>
  </si>
  <si>
    <t>935EL</t>
  </si>
  <si>
    <t>Espatula Calada Nylon Mgo Made</t>
  </si>
  <si>
    <t>936EL</t>
  </si>
  <si>
    <t>937EL</t>
  </si>
  <si>
    <t>Batidor Pera  Nylon  Mgo Mader</t>
  </si>
  <si>
    <t>943EL</t>
  </si>
  <si>
    <t>951EL</t>
  </si>
  <si>
    <t>952EL</t>
  </si>
  <si>
    <t>953EL</t>
  </si>
  <si>
    <t>955EL</t>
  </si>
  <si>
    <t xml:space="preserve"> Espatula Silicona Mgo Bambú</t>
  </si>
  <si>
    <t>957EL</t>
  </si>
  <si>
    <t>958EL</t>
  </si>
  <si>
    <t>960EL</t>
  </si>
  <si>
    <t>969EL</t>
  </si>
  <si>
    <t>970EL</t>
  </si>
  <si>
    <t>971EL</t>
  </si>
  <si>
    <t>2385</t>
  </si>
  <si>
    <t>Malla 020 Hierro Galvanizado</t>
  </si>
  <si>
    <t>2435</t>
  </si>
  <si>
    <t>PE POLIETILENO</t>
  </si>
  <si>
    <t>2445</t>
  </si>
  <si>
    <t>GOMA EVA</t>
  </si>
  <si>
    <t>2465</t>
  </si>
  <si>
    <t>AI ALTO IMPACTO</t>
  </si>
  <si>
    <t>2475</t>
  </si>
  <si>
    <t>NYLON VIRGEN</t>
  </si>
  <si>
    <t>2505</t>
  </si>
  <si>
    <t>NYLON RECUPERADO</t>
  </si>
  <si>
    <t>337</t>
  </si>
  <si>
    <t>4716</t>
  </si>
  <si>
    <t>Mango Bambú</t>
  </si>
  <si>
    <t>4726</t>
  </si>
  <si>
    <t>Cuchara Ac Inox s/Mango Impo</t>
  </si>
  <si>
    <t>4736</t>
  </si>
  <si>
    <t>Cucharon Ac Inox s/Mango Impo</t>
  </si>
  <si>
    <t>4746</t>
  </si>
  <si>
    <t>Cuchara Fideo Ac Inox s/Mango</t>
  </si>
  <si>
    <t>4756</t>
  </si>
  <si>
    <t>Espatula Calada Ac Inox s/Mgo</t>
  </si>
  <si>
    <t>4766</t>
  </si>
  <si>
    <t>Espumadera Ac Inox s/Mgo Impo</t>
  </si>
  <si>
    <t>Frontier</t>
  </si>
  <si>
    <t>505C</t>
  </si>
  <si>
    <t>cuchilla pelador</t>
  </si>
  <si>
    <t>123 Loke / 505I / 108 Loke / 586 / 099CH</t>
  </si>
  <si>
    <t>997E</t>
  </si>
  <si>
    <t>Rallador 3 Usos Mgo Acacia</t>
  </si>
  <si>
    <t xml:space="preserve"> Ø 8 Colador N8</t>
  </si>
  <si>
    <t xml:space="preserve"> Ø 8 Colador N10</t>
  </si>
  <si>
    <t>cerrado</t>
  </si>
  <si>
    <t>y que ofrezca si tiene algo nuevo. Mandar listado articulos ownland para ver si mejora precio</t>
  </si>
  <si>
    <t>512E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</si>
</sst>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0_-;\-* #,##0.000_-;_-* &quot;-&quot;??_-;_-@_-"/>
    <numFmt numFmtId="165" formatCode="hh\:mm\:ss\ "/>
    <numFmt numFmtId="166" formatCode="#,##0.000"/>
    <numFmt numFmtId="167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00FF"/>
      <name val="Aptos Narrow"/>
      <family val="2"/>
      <scheme val="minor"/>
    </font>
    <font>
      <sz val="10"/>
      <color indexed="8"/>
      <name val="Arial"/>
      <family val="2"/>
    </font>
    <font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D9F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0" fillId="0" borderId="11" xfId="0" applyBorder="1"/>
    <xf numFmtId="3" fontId="3" fillId="0" borderId="12" xfId="0" applyNumberFormat="1" applyFont="1" applyBorder="1" applyAlignment="1">
      <alignment horizontal="center" vertical="center"/>
    </xf>
    <xf numFmtId="0" fontId="0" fillId="2" borderId="11" xfId="0" applyFill="1" applyBorder="1"/>
    <xf numFmtId="0" fontId="0" fillId="2" borderId="13" xfId="0" applyFill="1" applyBorder="1"/>
    <xf numFmtId="0" fontId="0" fillId="0" borderId="14" xfId="0" applyBorder="1"/>
    <xf numFmtId="0" fontId="0" fillId="0" borderId="14" xfId="0" applyBorder="1" applyAlignment="1">
      <alignment horizontal="center"/>
    </xf>
    <xf numFmtId="3" fontId="3" fillId="0" borderId="14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0" fillId="0" borderId="13" xfId="0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0" fontId="0" fillId="3" borderId="11" xfId="0" applyFill="1" applyBorder="1"/>
    <xf numFmtId="0" fontId="0" fillId="3" borderId="1" xfId="0" applyFill="1" applyBorder="1"/>
    <xf numFmtId="0" fontId="0" fillId="3" borderId="13" xfId="0" applyFill="1" applyBorder="1"/>
    <xf numFmtId="0" fontId="0" fillId="3" borderId="14" xfId="0" applyFill="1" applyBorder="1"/>
    <xf numFmtId="3" fontId="5" fillId="0" borderId="14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3" fontId="3" fillId="0" borderId="17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0" fontId="0" fillId="2" borderId="16" xfId="0" applyFill="1" applyBorder="1"/>
    <xf numFmtId="0" fontId="0" fillId="0" borderId="19" xfId="0" applyBorder="1"/>
    <xf numFmtId="0" fontId="0" fillId="0" borderId="20" xfId="0" applyBorder="1"/>
    <xf numFmtId="0" fontId="0" fillId="0" borderId="20" xfId="0" applyBorder="1" applyAlignment="1">
      <alignment horizontal="center"/>
    </xf>
    <xf numFmtId="3" fontId="3" fillId="0" borderId="2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0" xfId="0" quotePrefix="1"/>
    <xf numFmtId="0" fontId="2" fillId="0" borderId="22" xfId="0" applyFont="1" applyBorder="1" applyAlignment="1">
      <alignment horizontal="center" vertical="center" wrapText="1"/>
    </xf>
    <xf numFmtId="0" fontId="7" fillId="0" borderId="22" xfId="0" applyFont="1" applyBorder="1"/>
    <xf numFmtId="43" fontId="0" fillId="0" borderId="0" xfId="1" applyFont="1"/>
    <xf numFmtId="43" fontId="2" fillId="0" borderId="6" xfId="1" applyFont="1" applyBorder="1" applyAlignment="1">
      <alignment horizontal="center" vertical="center" wrapText="1"/>
    </xf>
    <xf numFmtId="43" fontId="0" fillId="0" borderId="1" xfId="1" applyFont="1" applyBorder="1"/>
    <xf numFmtId="164" fontId="0" fillId="0" borderId="0" xfId="1" applyNumberFormat="1" applyFont="1"/>
    <xf numFmtId="164" fontId="2" fillId="0" borderId="6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/>
    <xf numFmtId="164" fontId="0" fillId="0" borderId="1" xfId="1" applyNumberFormat="1" applyFont="1" applyFill="1" applyBorder="1"/>
    <xf numFmtId="43" fontId="0" fillId="0" borderId="1" xfId="1" applyFont="1" applyFill="1" applyBorder="1"/>
    <xf numFmtId="0" fontId="2" fillId="0" borderId="23" xfId="0" applyFont="1" applyBorder="1" applyAlignment="1">
      <alignment horizontal="center" vertical="center" wrapText="1"/>
    </xf>
    <xf numFmtId="3" fontId="3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3" fontId="3" fillId="0" borderId="27" xfId="0" applyNumberFormat="1" applyFont="1" applyBorder="1" applyAlignment="1">
      <alignment horizontal="center" vertical="center"/>
    </xf>
    <xf numFmtId="0" fontId="0" fillId="0" borderId="12" xfId="0" applyBorder="1"/>
    <xf numFmtId="0" fontId="0" fillId="4" borderId="12" xfId="0" applyFill="1" applyBorder="1"/>
    <xf numFmtId="0" fontId="0" fillId="0" borderId="15" xfId="0" applyBorder="1"/>
    <xf numFmtId="43" fontId="2" fillId="0" borderId="22" xfId="1" applyFont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 wrapText="1"/>
    </xf>
    <xf numFmtId="43" fontId="0" fillId="0" borderId="0" xfId="1" applyFont="1" applyBorder="1"/>
    <xf numFmtId="43" fontId="0" fillId="0" borderId="9" xfId="1" applyFont="1" applyBorder="1"/>
    <xf numFmtId="0" fontId="0" fillId="0" borderId="10" xfId="0" applyBorder="1"/>
    <xf numFmtId="43" fontId="0" fillId="0" borderId="14" xfId="1" applyFont="1" applyBorder="1"/>
    <xf numFmtId="0" fontId="0" fillId="2" borderId="8" xfId="0" applyFill="1" applyBorder="1"/>
    <xf numFmtId="43" fontId="0" fillId="0" borderId="17" xfId="1" applyFont="1" applyBorder="1"/>
    <xf numFmtId="0" fontId="0" fillId="0" borderId="18" xfId="0" applyBorder="1"/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3" fontId="2" fillId="0" borderId="28" xfId="1" applyFont="1" applyBorder="1" applyAlignment="1">
      <alignment horizontal="center" vertical="center" wrapText="1"/>
    </xf>
    <xf numFmtId="164" fontId="0" fillId="0" borderId="9" xfId="1" applyNumberFormat="1" applyFont="1" applyBorder="1"/>
    <xf numFmtId="164" fontId="0" fillId="0" borderId="14" xfId="1" applyNumberFormat="1" applyFont="1" applyBorder="1"/>
    <xf numFmtId="0" fontId="0" fillId="4" borderId="10" xfId="0" applyFill="1" applyBorder="1"/>
    <xf numFmtId="0" fontId="2" fillId="0" borderId="29" xfId="0" applyFont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/>
    </xf>
    <xf numFmtId="3" fontId="11" fillId="2" borderId="14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3" fontId="3" fillId="0" borderId="30" xfId="0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3" fontId="3" fillId="0" borderId="32" xfId="0" applyNumberFormat="1" applyFont="1" applyBorder="1" applyAlignment="1">
      <alignment horizontal="center" vertical="center"/>
    </xf>
    <xf numFmtId="3" fontId="3" fillId="0" borderId="33" xfId="0" applyNumberFormat="1" applyFont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43" fontId="0" fillId="0" borderId="35" xfId="1" applyFont="1" applyBorder="1"/>
    <xf numFmtId="3" fontId="11" fillId="2" borderId="17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4" fontId="12" fillId="0" borderId="0" xfId="0" applyNumberFormat="1" applyFont="1" applyAlignment="1">
      <alignment vertical="top"/>
    </xf>
    <xf numFmtId="14" fontId="12" fillId="0" borderId="0" xfId="0" applyNumberFormat="1" applyFont="1" applyAlignment="1">
      <alignment vertical="top"/>
    </xf>
    <xf numFmtId="165" fontId="12" fillId="0" borderId="0" xfId="0" applyNumberFormat="1" applyFont="1" applyAlignment="1">
      <alignment vertical="top"/>
    </xf>
    <xf numFmtId="3" fontId="12" fillId="0" borderId="0" xfId="0" applyNumberFormat="1" applyFont="1" applyAlignment="1">
      <alignment vertical="top"/>
    </xf>
    <xf numFmtId="1" fontId="12" fillId="0" borderId="0" xfId="0" applyNumberFormat="1" applyFont="1" applyAlignment="1">
      <alignment vertical="top"/>
    </xf>
    <xf numFmtId="166" fontId="12" fillId="0" borderId="0" xfId="0" applyNumberFormat="1" applyFont="1" applyAlignment="1">
      <alignment vertical="top"/>
    </xf>
    <xf numFmtId="0" fontId="0" fillId="0" borderId="30" xfId="0" applyBorder="1"/>
    <xf numFmtId="0" fontId="0" fillId="0" borderId="31" xfId="0" applyBorder="1"/>
    <xf numFmtId="0" fontId="0" fillId="0" borderId="33" xfId="0" applyBorder="1"/>
    <xf numFmtId="3" fontId="13" fillId="0" borderId="1" xfId="0" applyNumberFormat="1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7" xfId="0" applyBorder="1" applyAlignment="1">
      <alignment horizontal="center"/>
    </xf>
    <xf numFmtId="43" fontId="0" fillId="0" borderId="37" xfId="1" applyFont="1" applyBorder="1"/>
    <xf numFmtId="3" fontId="3" fillId="0" borderId="38" xfId="0" applyNumberFormat="1" applyFont="1" applyBorder="1" applyAlignment="1">
      <alignment horizontal="center" vertical="center"/>
    </xf>
    <xf numFmtId="3" fontId="11" fillId="2" borderId="37" xfId="0" applyNumberFormat="1" applyFont="1" applyFill="1" applyBorder="1" applyAlignment="1">
      <alignment horizontal="center" vertical="center"/>
    </xf>
    <xf numFmtId="3" fontId="3" fillId="0" borderId="39" xfId="0" applyNumberFormat="1" applyFont="1" applyBorder="1" applyAlignment="1">
      <alignment horizontal="center" vertical="center"/>
    </xf>
    <xf numFmtId="3" fontId="3" fillId="0" borderId="37" xfId="0" applyNumberFormat="1" applyFont="1" applyBorder="1" applyAlignment="1">
      <alignment horizontal="center" vertical="center"/>
    </xf>
    <xf numFmtId="0" fontId="0" fillId="0" borderId="40" xfId="0" applyBorder="1"/>
    <xf numFmtId="3" fontId="3" fillId="0" borderId="42" xfId="0" applyNumberFormat="1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0" fontId="0" fillId="0" borderId="41" xfId="0" applyBorder="1"/>
    <xf numFmtId="3" fontId="13" fillId="0" borderId="25" xfId="0" applyNumberFormat="1" applyFont="1" applyBorder="1" applyAlignment="1">
      <alignment horizontal="center" vertical="center"/>
    </xf>
    <xf numFmtId="167" fontId="2" fillId="0" borderId="22" xfId="1" applyNumberFormat="1" applyFont="1" applyBorder="1" applyAlignment="1">
      <alignment horizontal="center" vertical="center" wrapText="1"/>
    </xf>
    <xf numFmtId="167" fontId="2" fillId="0" borderId="6" xfId="1" applyNumberFormat="1" applyFont="1" applyBorder="1" applyAlignment="1">
      <alignment horizontal="center" vertical="center" wrapText="1"/>
    </xf>
    <xf numFmtId="167" fontId="0" fillId="0" borderId="17" xfId="1" applyNumberFormat="1" applyFont="1" applyBorder="1"/>
    <xf numFmtId="167" fontId="0" fillId="0" borderId="1" xfId="1" applyNumberFormat="1" applyFont="1" applyFill="1" applyBorder="1"/>
    <xf numFmtId="167" fontId="0" fillId="0" borderId="37" xfId="1" applyNumberFormat="1" applyFont="1" applyBorder="1"/>
    <xf numFmtId="3" fontId="3" fillId="0" borderId="0" xfId="0" applyNumberFormat="1" applyFont="1" applyAlignment="1">
      <alignment horizontal="center" vertical="center"/>
    </xf>
    <xf numFmtId="0" fontId="0" fillId="0" borderId="43" xfId="0" quotePrefix="1" applyBorder="1"/>
    <xf numFmtId="0" fontId="0" fillId="0" borderId="44" xfId="0" applyBorder="1"/>
    <xf numFmtId="0" fontId="0" fillId="0" borderId="10" xfId="0" quotePrefix="1" applyBorder="1"/>
    <xf numFmtId="167" fontId="0" fillId="0" borderId="0" xfId="1" applyNumberFormat="1" applyFont="1" applyBorder="1" applyAlignment="1">
      <alignment horizontal="center" vertical="center"/>
    </xf>
    <xf numFmtId="3" fontId="3" fillId="0" borderId="45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" xfId="0" quotePrefix="1" applyBorder="1"/>
    <xf numFmtId="0" fontId="0" fillId="0" borderId="41" xfId="0" quotePrefix="1" applyBorder="1"/>
    <xf numFmtId="0" fontId="0" fillId="0" borderId="35" xfId="0" applyBorder="1"/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16" xfId="0" quotePrefix="1" applyBorder="1"/>
    <xf numFmtId="0" fontId="0" fillId="0" borderId="49" xfId="0" applyBorder="1" applyAlignment="1">
      <alignment horizontal="center"/>
    </xf>
    <xf numFmtId="0" fontId="0" fillId="0" borderId="28" xfId="0" quotePrefix="1" applyBorder="1"/>
    <xf numFmtId="0" fontId="0" fillId="0" borderId="50" xfId="0" quotePrefix="1" applyBorder="1"/>
    <xf numFmtId="0" fontId="0" fillId="0" borderId="51" xfId="0" quotePrefix="1" applyBorder="1"/>
    <xf numFmtId="0" fontId="0" fillId="0" borderId="8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52" xfId="0" applyBorder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46" xfId="0" applyBorder="1"/>
    <xf numFmtId="0" fontId="0" fillId="0" borderId="42" xfId="0" applyBorder="1"/>
    <xf numFmtId="43" fontId="0" fillId="0" borderId="44" xfId="1" applyFont="1" applyBorder="1"/>
    <xf numFmtId="0" fontId="0" fillId="0" borderId="11" xfId="0" applyBorder="1" applyAlignment="1">
      <alignment horizontal="left"/>
    </xf>
    <xf numFmtId="0" fontId="0" fillId="0" borderId="43" xfId="0" applyBorder="1"/>
    <xf numFmtId="0" fontId="0" fillId="6" borderId="1" xfId="0" applyFill="1" applyBorder="1"/>
    <xf numFmtId="43" fontId="7" fillId="0" borderId="1" xfId="1" applyFont="1" applyBorder="1"/>
    <xf numFmtId="43" fontId="7" fillId="0" borderId="1" xfId="1" applyFont="1" applyFill="1" applyBorder="1"/>
    <xf numFmtId="3" fontId="3" fillId="0" borderId="6" xfId="0" applyNumberFormat="1" applyFont="1" applyBorder="1" applyAlignment="1">
      <alignment horizontal="center" vertical="center"/>
    </xf>
    <xf numFmtId="3" fontId="3" fillId="0" borderId="44" xfId="0" applyNumberFormat="1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7" fontId="0" fillId="0" borderId="6" xfId="1" applyNumberFormat="1" applyFont="1" applyBorder="1" applyAlignment="1">
      <alignment horizontal="center" vertical="center"/>
    </xf>
    <xf numFmtId="167" fontId="0" fillId="0" borderId="44" xfId="1" applyNumberFormat="1" applyFont="1" applyBorder="1" applyAlignment="1">
      <alignment horizontal="center" vertical="center"/>
    </xf>
    <xf numFmtId="167" fontId="0" fillId="0" borderId="35" xfId="1" applyNumberFormat="1" applyFont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/>
    </xf>
    <xf numFmtId="3" fontId="3" fillId="5" borderId="44" xfId="0" applyNumberFormat="1" applyFont="1" applyFill="1" applyBorder="1" applyAlignment="1">
      <alignment horizontal="center" vertical="center"/>
    </xf>
    <xf numFmtId="3" fontId="3" fillId="5" borderId="35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44" xfId="0" applyNumberFormat="1" applyFont="1" applyFill="1" applyBorder="1" applyAlignment="1">
      <alignment horizontal="center" vertical="center"/>
    </xf>
    <xf numFmtId="3" fontId="11" fillId="2" borderId="3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D9F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5F35EC-4910-4A08-B7DF-DA6B7901B00E}">
  <we:reference id="wa200009404" version="1.0.0.8" store="es-ES" storeType="OMEX"/>
  <we:alternateReferences>
    <we:reference id="wa200009404" version="1.0.0.8" store="es-ES" storeType="OMEX"/>
  </we:alternateReferences>
  <we:properties>
    <we:property name="claude.fileId" value="&quot;3eeb314e-83ee-4dcf-8f36-45bc805b36a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9873-5DC7-4AF3-AFD4-93E3DA445243}">
  <sheetPr>
    <pageSetUpPr fitToPage="1"/>
  </sheetPr>
  <dimension ref="A1:Q40"/>
  <sheetViews>
    <sheetView topLeftCell="A22" workbookViewId="0">
      <selection activeCell="D14" sqref="D14"/>
    </sheetView>
  </sheetViews>
  <sheetFormatPr baseColWidth="10" defaultRowHeight="14.4" x14ac:dyDescent="0.3"/>
  <cols>
    <col min="1" max="1" width="5.6640625" customWidth="1"/>
    <col min="2" max="2" width="3.88671875" customWidth="1"/>
    <col min="3" max="3" width="10" style="5" customWidth="1"/>
    <col min="4" max="4" width="28.88671875" customWidth="1"/>
    <col min="5" max="6" width="10" customWidth="1"/>
    <col min="7" max="7" width="9.33203125" customWidth="1"/>
    <col min="8" max="8" width="13.6640625" customWidth="1"/>
    <col min="10" max="10" width="7.33203125" customWidth="1"/>
    <col min="11" max="11" width="9.33203125" customWidth="1"/>
    <col min="12" max="12" width="11.88671875" bestFit="1" customWidth="1"/>
    <col min="13" max="13" width="9.6640625" customWidth="1"/>
    <col min="14" max="14" width="9.33203125" hidden="1" customWidth="1"/>
    <col min="15" max="15" width="9" hidden="1" customWidth="1"/>
    <col min="16" max="16" width="9.88671875" hidden="1" customWidth="1"/>
    <col min="17" max="17" width="37.33203125" bestFit="1" customWidth="1"/>
  </cols>
  <sheetData>
    <row r="1" spans="1:17" ht="24" thickBot="1" x14ac:dyDescent="0.5">
      <c r="A1" s="43" t="s">
        <v>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</row>
    <row r="2" spans="1:17" ht="15" thickBot="1" x14ac:dyDescent="0.35">
      <c r="C2"/>
    </row>
    <row r="3" spans="1:17" ht="20.25" customHeight="1" thickBot="1" x14ac:dyDescent="0.35">
      <c r="A3" s="1"/>
      <c r="B3" s="1"/>
      <c r="C3" s="1"/>
      <c r="D3" s="1"/>
      <c r="E3" s="1"/>
      <c r="F3" s="1"/>
      <c r="G3" s="1"/>
      <c r="H3" s="1">
        <v>8</v>
      </c>
      <c r="I3" s="1"/>
      <c r="J3" s="1"/>
      <c r="K3" s="1"/>
      <c r="L3" s="1"/>
      <c r="M3" s="1"/>
      <c r="N3" s="155" t="s">
        <v>10</v>
      </c>
      <c r="O3" s="156"/>
      <c r="P3" s="157"/>
    </row>
    <row r="4" spans="1:17" ht="62.25" customHeight="1" thickBot="1" x14ac:dyDescent="0.35">
      <c r="A4" s="20" t="s">
        <v>1</v>
      </c>
      <c r="B4" s="23" t="s">
        <v>278</v>
      </c>
      <c r="C4" s="21" t="s">
        <v>0</v>
      </c>
      <c r="D4" s="21" t="s">
        <v>2</v>
      </c>
      <c r="E4" s="21" t="s">
        <v>313</v>
      </c>
      <c r="F4" s="21" t="s">
        <v>314</v>
      </c>
      <c r="G4" s="21" t="s">
        <v>3</v>
      </c>
      <c r="H4" s="21" t="s">
        <v>4</v>
      </c>
      <c r="I4" s="21" t="s">
        <v>7</v>
      </c>
      <c r="J4" s="21" t="s">
        <v>299</v>
      </c>
      <c r="K4" s="21" t="s">
        <v>5</v>
      </c>
      <c r="L4" s="21" t="s">
        <v>6</v>
      </c>
      <c r="M4" s="21" t="s">
        <v>8</v>
      </c>
      <c r="N4" s="21" t="s">
        <v>245</v>
      </c>
      <c r="O4" s="21" t="s">
        <v>246</v>
      </c>
      <c r="P4" s="22" t="s">
        <v>247</v>
      </c>
      <c r="Q4" s="47" t="s">
        <v>312</v>
      </c>
    </row>
    <row r="5" spans="1:17" ht="18.600000000000001" thickBot="1" x14ac:dyDescent="0.35">
      <c r="A5" s="37" t="s">
        <v>100</v>
      </c>
      <c r="B5" s="38" t="s">
        <v>279</v>
      </c>
      <c r="C5" s="39" t="s">
        <v>286</v>
      </c>
      <c r="D5" s="38" t="s">
        <v>217</v>
      </c>
      <c r="E5" s="38">
        <v>0.49</v>
      </c>
      <c r="F5" s="38"/>
      <c r="G5" s="40">
        <f>IF((+H5-I5)&lt;0,"",+H5-I5)</f>
        <v>1116</v>
      </c>
      <c r="H5" s="40">
        <f>+$H$3*M5</f>
        <v>3360</v>
      </c>
      <c r="I5" s="40">
        <f>+K5+L5</f>
        <v>2244</v>
      </c>
      <c r="J5" s="40">
        <f>+I5/M5</f>
        <v>5.3428571428571425</v>
      </c>
      <c r="K5" s="40">
        <v>228</v>
      </c>
      <c r="L5" s="41">
        <v>2016</v>
      </c>
      <c r="M5" s="40">
        <v>420</v>
      </c>
      <c r="N5" s="40">
        <v>432</v>
      </c>
      <c r="O5" s="40">
        <v>216</v>
      </c>
      <c r="P5" s="42">
        <v>72</v>
      </c>
    </row>
    <row r="6" spans="1:17" ht="15" thickBot="1" x14ac:dyDescent="0.35">
      <c r="C6"/>
      <c r="F6" s="48"/>
    </row>
    <row r="7" spans="1:17" ht="18.600000000000001" thickBot="1" x14ac:dyDescent="0.35">
      <c r="A7" s="6" t="s">
        <v>34</v>
      </c>
      <c r="B7" s="7" t="s">
        <v>279</v>
      </c>
      <c r="C7" s="8" t="s">
        <v>288</v>
      </c>
      <c r="D7" s="7" t="s">
        <v>264</v>
      </c>
      <c r="E7" s="38">
        <v>0.78</v>
      </c>
      <c r="F7" s="7"/>
      <c r="G7" s="9">
        <f>IF((+H7-I7)&lt;0,"",+H7-I7)</f>
        <v>2400</v>
      </c>
      <c r="H7" s="9">
        <f>+$H$3*M7</f>
        <v>2688</v>
      </c>
      <c r="I7" s="9">
        <f>+K7+L7</f>
        <v>288</v>
      </c>
      <c r="J7" s="9">
        <f>+I7/M7</f>
        <v>0.8571428571428571</v>
      </c>
      <c r="K7" s="9">
        <v>288</v>
      </c>
      <c r="L7" s="9">
        <v>0</v>
      </c>
      <c r="M7" s="9">
        <v>336</v>
      </c>
      <c r="N7" s="9">
        <v>96</v>
      </c>
      <c r="O7" s="9">
        <v>984</v>
      </c>
      <c r="P7" s="10">
        <v>0</v>
      </c>
    </row>
    <row r="8" spans="1:17" ht="18.600000000000001" thickBot="1" x14ac:dyDescent="0.35">
      <c r="A8" s="11" t="s">
        <v>36</v>
      </c>
      <c r="B8" s="2" t="s">
        <v>279</v>
      </c>
      <c r="C8" s="4" t="s">
        <v>288</v>
      </c>
      <c r="D8" s="2" t="s">
        <v>153</v>
      </c>
      <c r="E8" s="38">
        <v>4.26</v>
      </c>
      <c r="F8" s="2"/>
      <c r="G8" s="3">
        <f>IF((+H8-I8)&lt;0,"",+H8-I8)</f>
        <v>840</v>
      </c>
      <c r="H8" s="3">
        <f>+$H$3*M8</f>
        <v>960</v>
      </c>
      <c r="I8" s="3">
        <f>+K8+L8</f>
        <v>120</v>
      </c>
      <c r="J8" s="3">
        <f>+I8/M8</f>
        <v>1</v>
      </c>
      <c r="K8" s="3">
        <v>120</v>
      </c>
      <c r="L8" s="3">
        <v>0</v>
      </c>
      <c r="M8" s="3">
        <v>120</v>
      </c>
      <c r="N8" s="3">
        <v>56</v>
      </c>
      <c r="O8" s="3">
        <v>52</v>
      </c>
      <c r="P8" s="12">
        <v>80</v>
      </c>
    </row>
    <row r="9" spans="1:17" ht="18.600000000000001" thickBot="1" x14ac:dyDescent="0.35">
      <c r="A9" s="19" t="s">
        <v>11</v>
      </c>
      <c r="B9" s="15" t="s">
        <v>279</v>
      </c>
      <c r="C9" s="16" t="s">
        <v>288</v>
      </c>
      <c r="D9" s="15" t="s">
        <v>128</v>
      </c>
      <c r="E9" s="38">
        <v>0.85</v>
      </c>
      <c r="F9" s="15"/>
      <c r="G9" s="17">
        <f>IF((+H9-I9)&lt;0,"",+H9-I9)</f>
        <v>1344</v>
      </c>
      <c r="H9" s="17">
        <f>+$H$3*M9</f>
        <v>1920</v>
      </c>
      <c r="I9" s="17">
        <f>+K9+L9</f>
        <v>576</v>
      </c>
      <c r="J9" s="17">
        <f>+I9/M9</f>
        <v>2.4</v>
      </c>
      <c r="K9" s="17">
        <v>576</v>
      </c>
      <c r="L9" s="17">
        <v>0</v>
      </c>
      <c r="M9" s="17">
        <v>240</v>
      </c>
      <c r="N9" s="17">
        <v>132</v>
      </c>
      <c r="O9" s="17">
        <v>324</v>
      </c>
      <c r="P9" s="18">
        <v>384</v>
      </c>
    </row>
    <row r="10" spans="1:17" ht="15" thickBot="1" x14ac:dyDescent="0.35">
      <c r="C10"/>
      <c r="F10" s="48"/>
    </row>
    <row r="11" spans="1:17" ht="18.600000000000001" thickBot="1" x14ac:dyDescent="0.35">
      <c r="A11" s="6" t="s">
        <v>42</v>
      </c>
      <c r="B11" s="7" t="s">
        <v>279</v>
      </c>
      <c r="C11" s="8" t="s">
        <v>287</v>
      </c>
      <c r="D11" s="7" t="s">
        <v>159</v>
      </c>
      <c r="E11" s="38">
        <v>0.46500000000000002</v>
      </c>
      <c r="F11" s="7"/>
      <c r="G11" s="9">
        <f>IF((+H11-I11)&lt;0,"",+H11-I11)</f>
        <v>11596</v>
      </c>
      <c r="H11" s="9">
        <f>+$H$3*M11</f>
        <v>35200</v>
      </c>
      <c r="I11" s="9">
        <f>+K11+L11</f>
        <v>23604</v>
      </c>
      <c r="J11" s="9">
        <f>+I11/M11</f>
        <v>5.3645454545454543</v>
      </c>
      <c r="K11" s="9">
        <v>2868</v>
      </c>
      <c r="L11" s="25">
        <v>20736</v>
      </c>
      <c r="M11" s="9">
        <v>4400</v>
      </c>
      <c r="N11" s="9">
        <v>3492</v>
      </c>
      <c r="O11" s="9">
        <v>2208</v>
      </c>
      <c r="P11" s="10">
        <v>7140</v>
      </c>
    </row>
    <row r="12" spans="1:17" ht="18.600000000000001" thickBot="1" x14ac:dyDescent="0.35">
      <c r="A12" s="11" t="s">
        <v>40</v>
      </c>
      <c r="B12" s="2" t="s">
        <v>279</v>
      </c>
      <c r="C12" s="4" t="s">
        <v>287</v>
      </c>
      <c r="D12" s="2" t="s">
        <v>297</v>
      </c>
      <c r="E12" s="38">
        <v>1.4</v>
      </c>
      <c r="F12" s="2"/>
      <c r="G12" s="3">
        <f>IF((+H12-I12)&lt;0,"",+H12-I12)</f>
        <v>2880</v>
      </c>
      <c r="H12" s="3">
        <f>+$H$3*M12</f>
        <v>7200</v>
      </c>
      <c r="I12" s="3">
        <f>+K12+L12</f>
        <v>4320</v>
      </c>
      <c r="J12" s="3">
        <f>+I12/M12</f>
        <v>4.8</v>
      </c>
      <c r="K12" s="3">
        <v>2280</v>
      </c>
      <c r="L12" s="24">
        <v>2040</v>
      </c>
      <c r="M12" s="3">
        <v>900</v>
      </c>
      <c r="N12" s="3">
        <v>132</v>
      </c>
      <c r="O12" s="3">
        <v>756</v>
      </c>
      <c r="P12" s="12">
        <v>1536</v>
      </c>
    </row>
    <row r="13" spans="1:17" ht="18.600000000000001" thickBot="1" x14ac:dyDescent="0.35">
      <c r="A13" s="11" t="s">
        <v>13</v>
      </c>
      <c r="B13" s="2" t="s">
        <v>280</v>
      </c>
      <c r="C13" s="4" t="s">
        <v>287</v>
      </c>
      <c r="D13" s="2" t="s">
        <v>130</v>
      </c>
      <c r="E13" s="38">
        <v>0.38</v>
      </c>
      <c r="F13" s="2"/>
      <c r="G13" s="3">
        <f>IF((+H13-I13)&lt;0,"",+H13-I13)</f>
        <v>16580</v>
      </c>
      <c r="H13" s="3">
        <f>+$H$3*M13</f>
        <v>32000</v>
      </c>
      <c r="I13" s="3">
        <f>+K13+L13</f>
        <v>15420</v>
      </c>
      <c r="J13" s="3">
        <f>+I13/M13</f>
        <v>3.855</v>
      </c>
      <c r="K13" s="3">
        <v>6060</v>
      </c>
      <c r="L13" s="24">
        <v>9360</v>
      </c>
      <c r="M13" s="3">
        <v>4000</v>
      </c>
      <c r="N13" s="3">
        <v>2280</v>
      </c>
      <c r="O13" s="3">
        <v>4260</v>
      </c>
      <c r="P13" s="12">
        <v>2580</v>
      </c>
      <c r="Q13" t="s">
        <v>300</v>
      </c>
    </row>
    <row r="14" spans="1:17" ht="18.600000000000001" thickBot="1" x14ac:dyDescent="0.35">
      <c r="A14" s="19" t="s">
        <v>19</v>
      </c>
      <c r="B14" s="15" t="s">
        <v>279</v>
      </c>
      <c r="C14" s="16" t="s">
        <v>287</v>
      </c>
      <c r="D14" s="15" t="s">
        <v>136</v>
      </c>
      <c r="E14" s="38">
        <v>0.22500000000000001</v>
      </c>
      <c r="F14" s="15"/>
      <c r="G14" s="17">
        <f>IF((+H14-I14)&lt;0,"",+H14-I14)</f>
        <v>4400</v>
      </c>
      <c r="H14" s="17">
        <f>+$H$3*M14</f>
        <v>6400</v>
      </c>
      <c r="I14" s="17">
        <f>+K14+L14</f>
        <v>2000</v>
      </c>
      <c r="J14" s="17">
        <f t="shared" ref="J14" si="0">+I14/M14</f>
        <v>2.5</v>
      </c>
      <c r="K14" s="17">
        <v>0</v>
      </c>
      <c r="L14" s="30">
        <v>2000</v>
      </c>
      <c r="M14" s="17">
        <v>800</v>
      </c>
      <c r="N14" s="17">
        <v>108</v>
      </c>
      <c r="O14" s="17">
        <v>180</v>
      </c>
      <c r="P14" s="18">
        <v>504</v>
      </c>
    </row>
    <row r="15" spans="1:17" ht="15" thickBot="1" x14ac:dyDescent="0.35">
      <c r="C15"/>
      <c r="F15" s="48"/>
    </row>
    <row r="16" spans="1:17" ht="18" x14ac:dyDescent="0.3">
      <c r="A16" s="6" t="s">
        <v>258</v>
      </c>
      <c r="B16" s="7" t="s">
        <v>281</v>
      </c>
      <c r="C16" s="8" t="s">
        <v>282</v>
      </c>
      <c r="D16" s="7" t="s">
        <v>274</v>
      </c>
      <c r="E16" s="7"/>
      <c r="F16" s="7"/>
      <c r="G16" s="9">
        <f>IF((+H16-I16)&lt;0,"",+H16-I16)</f>
        <v>576</v>
      </c>
      <c r="H16" s="9">
        <f>+$H$3*M16</f>
        <v>960</v>
      </c>
      <c r="I16" s="9">
        <f>+K16+L16</f>
        <v>384</v>
      </c>
      <c r="J16" s="9">
        <f>+I16/M16</f>
        <v>3.2</v>
      </c>
      <c r="K16" s="9">
        <v>384</v>
      </c>
      <c r="L16" s="9">
        <v>0</v>
      </c>
      <c r="M16" s="9">
        <v>120</v>
      </c>
      <c r="N16" s="9">
        <v>12</v>
      </c>
      <c r="O16" s="9">
        <v>0</v>
      </c>
      <c r="P16" s="10">
        <v>0</v>
      </c>
      <c r="Q16" t="s">
        <v>301</v>
      </c>
    </row>
    <row r="17" spans="1:17" ht="18" x14ac:dyDescent="0.3">
      <c r="A17" s="11" t="s">
        <v>21</v>
      </c>
      <c r="B17" s="2" t="s">
        <v>279</v>
      </c>
      <c r="C17" s="4" t="s">
        <v>282</v>
      </c>
      <c r="D17" s="2" t="s">
        <v>138</v>
      </c>
      <c r="E17" s="2"/>
      <c r="F17" s="2"/>
      <c r="G17" s="3">
        <f>IF((+H17-I17)&lt;0,"",+H17-I17)</f>
        <v>3348</v>
      </c>
      <c r="H17" s="3">
        <f>+$H$3*M17</f>
        <v>3744</v>
      </c>
      <c r="I17" s="3">
        <f>+K17+L17</f>
        <v>396</v>
      </c>
      <c r="J17" s="3">
        <f>+I17/M17</f>
        <v>0.84615384615384615</v>
      </c>
      <c r="K17" s="3">
        <v>396</v>
      </c>
      <c r="L17" s="3">
        <v>0</v>
      </c>
      <c r="M17" s="3">
        <v>468</v>
      </c>
      <c r="N17" s="3">
        <v>336</v>
      </c>
      <c r="O17" s="3">
        <v>468</v>
      </c>
      <c r="P17" s="12">
        <v>432</v>
      </c>
      <c r="Q17" t="s">
        <v>302</v>
      </c>
    </row>
    <row r="18" spans="1:17" ht="18.600000000000001" thickBot="1" x14ac:dyDescent="0.35">
      <c r="A18" s="19" t="s">
        <v>20</v>
      </c>
      <c r="B18" s="15" t="s">
        <v>279</v>
      </c>
      <c r="C18" s="16" t="s">
        <v>282</v>
      </c>
      <c r="D18" s="15" t="s">
        <v>137</v>
      </c>
      <c r="E18" s="15"/>
      <c r="F18" s="15"/>
      <c r="G18" s="17">
        <f>IF((+H18-I18)&lt;0,"",+H18-I18)</f>
        <v>1344</v>
      </c>
      <c r="H18" s="17">
        <f>+$H$3*M18</f>
        <v>3360</v>
      </c>
      <c r="I18" s="17">
        <f>+K18+L18</f>
        <v>2016</v>
      </c>
      <c r="J18" s="17">
        <f>+I18/M18</f>
        <v>4.8</v>
      </c>
      <c r="K18" s="17">
        <v>0</v>
      </c>
      <c r="L18" s="30">
        <v>2016</v>
      </c>
      <c r="M18" s="17">
        <v>420</v>
      </c>
      <c r="N18" s="17">
        <v>336</v>
      </c>
      <c r="O18" s="17">
        <v>420</v>
      </c>
      <c r="P18" s="18">
        <v>732</v>
      </c>
    </row>
    <row r="19" spans="1:17" ht="15" thickBot="1" x14ac:dyDescent="0.35">
      <c r="C19"/>
      <c r="F19" s="48"/>
    </row>
    <row r="20" spans="1:17" ht="18" x14ac:dyDescent="0.3">
      <c r="A20" s="6" t="s">
        <v>255</v>
      </c>
      <c r="B20" s="7" t="s">
        <v>281</v>
      </c>
      <c r="C20" s="8" t="s">
        <v>284</v>
      </c>
      <c r="D20" s="7" t="s">
        <v>272</v>
      </c>
      <c r="E20" s="7"/>
      <c r="F20" s="7"/>
      <c r="G20" s="9">
        <f t="shared" ref="G20:G32" si="1">IF((+H20-I20)&lt;0,"",+H20-I20)</f>
        <v>6336</v>
      </c>
      <c r="H20" s="9">
        <f t="shared" ref="H20:H32" si="2">+$H$3*M20</f>
        <v>6336</v>
      </c>
      <c r="I20" s="9">
        <f t="shared" ref="I20:I32" si="3">+K20+L20</f>
        <v>0</v>
      </c>
      <c r="J20" s="9">
        <f t="shared" ref="J20:J32" si="4">+I20/M20</f>
        <v>0</v>
      </c>
      <c r="K20" s="9">
        <v>0</v>
      </c>
      <c r="L20" s="9">
        <v>0</v>
      </c>
      <c r="M20" s="9">
        <v>792</v>
      </c>
      <c r="N20" s="9">
        <v>0</v>
      </c>
      <c r="O20" s="9">
        <v>0</v>
      </c>
      <c r="P20" s="10">
        <v>0</v>
      </c>
      <c r="Q20" t="s">
        <v>304</v>
      </c>
    </row>
    <row r="21" spans="1:17" ht="19.5" customHeight="1" x14ac:dyDescent="0.3">
      <c r="A21" s="11" t="s">
        <v>249</v>
      </c>
      <c r="B21" s="2" t="s">
        <v>281</v>
      </c>
      <c r="C21" s="4" t="s">
        <v>284</v>
      </c>
      <c r="D21" s="2" t="s">
        <v>266</v>
      </c>
      <c r="E21" s="2"/>
      <c r="F21" s="2"/>
      <c r="G21" s="3">
        <f t="shared" si="1"/>
        <v>1920</v>
      </c>
      <c r="H21" s="3">
        <f t="shared" si="2"/>
        <v>1920</v>
      </c>
      <c r="I21" s="3">
        <f t="shared" si="3"/>
        <v>0</v>
      </c>
      <c r="J21" s="3">
        <f t="shared" si="4"/>
        <v>0</v>
      </c>
      <c r="K21" s="3">
        <v>0</v>
      </c>
      <c r="L21" s="3">
        <v>0</v>
      </c>
      <c r="M21" s="3">
        <v>240</v>
      </c>
      <c r="N21" s="3">
        <v>0</v>
      </c>
      <c r="O21" s="3">
        <v>0</v>
      </c>
      <c r="P21" s="12">
        <v>0</v>
      </c>
      <c r="Q21" t="s">
        <v>304</v>
      </c>
    </row>
    <row r="22" spans="1:17" ht="18" x14ac:dyDescent="0.3">
      <c r="A22" s="11" t="s">
        <v>253</v>
      </c>
      <c r="B22" s="2" t="s">
        <v>281</v>
      </c>
      <c r="C22" s="4" t="s">
        <v>284</v>
      </c>
      <c r="D22" s="2" t="s">
        <v>270</v>
      </c>
      <c r="E22" s="2"/>
      <c r="F22" s="2"/>
      <c r="G22" s="3">
        <f t="shared" si="1"/>
        <v>1920</v>
      </c>
      <c r="H22" s="3">
        <f t="shared" si="2"/>
        <v>1920</v>
      </c>
      <c r="I22" s="3">
        <f t="shared" si="3"/>
        <v>0</v>
      </c>
      <c r="J22" s="3">
        <f t="shared" si="4"/>
        <v>0</v>
      </c>
      <c r="K22" s="3">
        <v>0</v>
      </c>
      <c r="L22" s="3">
        <v>0</v>
      </c>
      <c r="M22" s="3">
        <v>240</v>
      </c>
      <c r="N22" s="3">
        <v>372</v>
      </c>
      <c r="O22" s="3">
        <v>1452</v>
      </c>
      <c r="P22" s="12">
        <v>468</v>
      </c>
      <c r="Q22" t="s">
        <v>303</v>
      </c>
    </row>
    <row r="23" spans="1:17" ht="18" x14ac:dyDescent="0.3">
      <c r="A23" s="11" t="s">
        <v>261</v>
      </c>
      <c r="B23" s="2" t="s">
        <v>281</v>
      </c>
      <c r="C23" s="4" t="s">
        <v>284</v>
      </c>
      <c r="D23" s="2" t="s">
        <v>277</v>
      </c>
      <c r="E23" s="2"/>
      <c r="F23" s="2"/>
      <c r="G23" s="3">
        <f t="shared" si="1"/>
        <v>1632</v>
      </c>
      <c r="H23" s="3">
        <f t="shared" si="2"/>
        <v>1632</v>
      </c>
      <c r="I23" s="3">
        <f t="shared" si="3"/>
        <v>0</v>
      </c>
      <c r="J23" s="3">
        <f t="shared" si="4"/>
        <v>0</v>
      </c>
      <c r="K23" s="3">
        <v>0</v>
      </c>
      <c r="L23" s="3">
        <v>0</v>
      </c>
      <c r="M23" s="3">
        <v>204</v>
      </c>
      <c r="N23" s="3">
        <v>252</v>
      </c>
      <c r="O23" s="3">
        <v>240</v>
      </c>
      <c r="P23" s="12">
        <v>0</v>
      </c>
      <c r="Q23" t="s">
        <v>305</v>
      </c>
    </row>
    <row r="24" spans="1:17" ht="18" x14ac:dyDescent="0.3">
      <c r="A24" s="11" t="s">
        <v>254</v>
      </c>
      <c r="B24" s="2" t="s">
        <v>281</v>
      </c>
      <c r="C24" s="4" t="s">
        <v>284</v>
      </c>
      <c r="D24" s="2" t="s">
        <v>271</v>
      </c>
      <c r="E24" s="2"/>
      <c r="F24" s="2"/>
      <c r="G24" s="3">
        <f t="shared" si="1"/>
        <v>2112</v>
      </c>
      <c r="H24" s="3">
        <f t="shared" si="2"/>
        <v>2208</v>
      </c>
      <c r="I24" s="3">
        <f t="shared" si="3"/>
        <v>96</v>
      </c>
      <c r="J24" s="3">
        <f t="shared" si="4"/>
        <v>0.34782608695652173</v>
      </c>
      <c r="K24" s="3">
        <v>96</v>
      </c>
      <c r="L24" s="3">
        <v>0</v>
      </c>
      <c r="M24" s="3">
        <v>276</v>
      </c>
      <c r="N24" s="3">
        <v>96</v>
      </c>
      <c r="O24" s="3">
        <v>60</v>
      </c>
      <c r="P24" s="12">
        <v>144</v>
      </c>
      <c r="Q24" t="s">
        <v>303</v>
      </c>
    </row>
    <row r="25" spans="1:17" ht="18" x14ac:dyDescent="0.3">
      <c r="A25" s="11" t="s">
        <v>50</v>
      </c>
      <c r="B25" s="2" t="s">
        <v>279</v>
      </c>
      <c r="C25" s="4" t="s">
        <v>284</v>
      </c>
      <c r="D25" s="2" t="s">
        <v>167</v>
      </c>
      <c r="E25" s="2"/>
      <c r="F25" s="2"/>
      <c r="G25" s="3">
        <f t="shared" si="1"/>
        <v>4908</v>
      </c>
      <c r="H25" s="3">
        <f t="shared" si="2"/>
        <v>5472</v>
      </c>
      <c r="I25" s="3">
        <f t="shared" si="3"/>
        <v>564</v>
      </c>
      <c r="J25" s="3">
        <f t="shared" si="4"/>
        <v>0.82456140350877194</v>
      </c>
      <c r="K25" s="3">
        <v>564</v>
      </c>
      <c r="L25" s="3">
        <v>0</v>
      </c>
      <c r="M25" s="3">
        <v>684</v>
      </c>
      <c r="N25" s="3">
        <v>696</v>
      </c>
      <c r="O25" s="3">
        <v>960</v>
      </c>
      <c r="P25" s="12">
        <v>996</v>
      </c>
      <c r="Q25" s="46" t="s">
        <v>306</v>
      </c>
    </row>
    <row r="26" spans="1:17" ht="18" x14ac:dyDescent="0.3">
      <c r="A26" s="11" t="s">
        <v>41</v>
      </c>
      <c r="B26" s="2" t="s">
        <v>279</v>
      </c>
      <c r="C26" s="4" t="s">
        <v>284</v>
      </c>
      <c r="D26" s="2" t="s">
        <v>158</v>
      </c>
      <c r="E26" s="2"/>
      <c r="F26" s="2"/>
      <c r="G26" s="3">
        <f t="shared" si="1"/>
        <v>9432</v>
      </c>
      <c r="H26" s="3">
        <f t="shared" si="2"/>
        <v>14400</v>
      </c>
      <c r="I26" s="3">
        <f t="shared" si="3"/>
        <v>4968</v>
      </c>
      <c r="J26" s="3">
        <f t="shared" si="4"/>
        <v>2.76</v>
      </c>
      <c r="K26" s="3">
        <v>1800</v>
      </c>
      <c r="L26" s="24">
        <v>3168</v>
      </c>
      <c r="M26" s="3">
        <v>1800</v>
      </c>
      <c r="N26" s="3">
        <v>576</v>
      </c>
      <c r="O26" s="3">
        <v>1344</v>
      </c>
      <c r="P26" s="12">
        <v>2472</v>
      </c>
      <c r="Q26" t="s">
        <v>307</v>
      </c>
    </row>
    <row r="27" spans="1:17" ht="18" x14ac:dyDescent="0.3">
      <c r="A27" s="11" t="s">
        <v>54</v>
      </c>
      <c r="B27" s="2" t="s">
        <v>279</v>
      </c>
      <c r="C27" s="4" t="s">
        <v>284</v>
      </c>
      <c r="D27" s="2" t="s">
        <v>171</v>
      </c>
      <c r="E27" s="2"/>
      <c r="F27" s="2"/>
      <c r="G27" s="3">
        <f t="shared" si="1"/>
        <v>5412</v>
      </c>
      <c r="H27" s="3">
        <f t="shared" si="2"/>
        <v>9600</v>
      </c>
      <c r="I27" s="3">
        <f t="shared" si="3"/>
        <v>4188</v>
      </c>
      <c r="J27" s="3">
        <f t="shared" si="4"/>
        <v>3.49</v>
      </c>
      <c r="K27" s="3">
        <v>4188</v>
      </c>
      <c r="L27" s="3">
        <v>0</v>
      </c>
      <c r="M27" s="3">
        <v>1200</v>
      </c>
      <c r="N27" s="3">
        <v>516</v>
      </c>
      <c r="O27" s="3">
        <v>1140</v>
      </c>
      <c r="P27" s="12">
        <v>1452</v>
      </c>
      <c r="Q27" t="s">
        <v>308</v>
      </c>
    </row>
    <row r="28" spans="1:17" ht="18" x14ac:dyDescent="0.3">
      <c r="A28" s="11" t="s">
        <v>68</v>
      </c>
      <c r="B28" s="2" t="s">
        <v>279</v>
      </c>
      <c r="C28" s="4" t="s">
        <v>284</v>
      </c>
      <c r="D28" s="2" t="s">
        <v>185</v>
      </c>
      <c r="E28" s="2"/>
      <c r="F28" s="2"/>
      <c r="G28" s="3">
        <f t="shared" si="1"/>
        <v>936</v>
      </c>
      <c r="H28" s="3">
        <f t="shared" si="2"/>
        <v>2304</v>
      </c>
      <c r="I28" s="3">
        <f t="shared" si="3"/>
        <v>1368</v>
      </c>
      <c r="J28" s="3">
        <f t="shared" si="4"/>
        <v>4.75</v>
      </c>
      <c r="K28" s="3">
        <v>1368</v>
      </c>
      <c r="L28" s="3">
        <v>0</v>
      </c>
      <c r="M28" s="3">
        <v>288</v>
      </c>
      <c r="N28" s="3">
        <v>288</v>
      </c>
      <c r="O28" s="3">
        <v>216</v>
      </c>
      <c r="P28" s="12">
        <v>324</v>
      </c>
    </row>
    <row r="29" spans="1:17" ht="18" x14ac:dyDescent="0.3">
      <c r="A29" s="11" t="s">
        <v>68</v>
      </c>
      <c r="B29" s="2" t="s">
        <v>279</v>
      </c>
      <c r="C29" s="4" t="s">
        <v>284</v>
      </c>
      <c r="D29" s="2" t="s">
        <v>273</v>
      </c>
      <c r="E29" s="2"/>
      <c r="F29" s="2"/>
      <c r="G29" s="3">
        <f t="shared" si="1"/>
        <v>5040</v>
      </c>
      <c r="H29" s="3">
        <f t="shared" si="2"/>
        <v>13440</v>
      </c>
      <c r="I29" s="3">
        <f t="shared" si="3"/>
        <v>8400</v>
      </c>
      <c r="J29" s="3">
        <f t="shared" si="4"/>
        <v>5</v>
      </c>
      <c r="K29" s="3">
        <v>4368</v>
      </c>
      <c r="L29" s="3">
        <v>4032</v>
      </c>
      <c r="M29" s="3">
        <v>1680</v>
      </c>
      <c r="N29" s="3">
        <v>1248</v>
      </c>
      <c r="O29" s="3">
        <v>948</v>
      </c>
      <c r="P29" s="12">
        <v>744</v>
      </c>
    </row>
    <row r="30" spans="1:17" ht="18" x14ac:dyDescent="0.3">
      <c r="A30" s="11" t="s">
        <v>77</v>
      </c>
      <c r="B30" s="2" t="s">
        <v>279</v>
      </c>
      <c r="C30" s="4" t="s">
        <v>284</v>
      </c>
      <c r="D30" s="2" t="s">
        <v>194</v>
      </c>
      <c r="E30" s="2"/>
      <c r="F30" s="2"/>
      <c r="G30" s="3">
        <f t="shared" si="1"/>
        <v>1776</v>
      </c>
      <c r="H30" s="3">
        <f t="shared" si="2"/>
        <v>4800</v>
      </c>
      <c r="I30" s="3">
        <f t="shared" si="3"/>
        <v>3024</v>
      </c>
      <c r="J30" s="3">
        <f t="shared" si="4"/>
        <v>5.04</v>
      </c>
      <c r="K30" s="3">
        <v>3024</v>
      </c>
      <c r="L30" s="3">
        <v>0</v>
      </c>
      <c r="M30" s="3">
        <v>600</v>
      </c>
      <c r="N30" s="3">
        <v>396</v>
      </c>
      <c r="O30" s="3">
        <v>516</v>
      </c>
      <c r="P30" s="12">
        <v>1248</v>
      </c>
    </row>
    <row r="31" spans="1:17" ht="18" x14ac:dyDescent="0.3">
      <c r="A31" s="11" t="s">
        <v>250</v>
      </c>
      <c r="B31" s="2" t="s">
        <v>281</v>
      </c>
      <c r="C31" s="4" t="s">
        <v>284</v>
      </c>
      <c r="D31" s="2" t="s">
        <v>267</v>
      </c>
      <c r="E31" s="2"/>
      <c r="F31" s="2"/>
      <c r="G31" s="3">
        <f t="shared" si="1"/>
        <v>2976</v>
      </c>
      <c r="H31" s="3">
        <f t="shared" si="2"/>
        <v>9600</v>
      </c>
      <c r="I31" s="3">
        <f t="shared" si="3"/>
        <v>6624</v>
      </c>
      <c r="J31" s="3">
        <f t="shared" si="4"/>
        <v>5.52</v>
      </c>
      <c r="K31" s="3">
        <v>0</v>
      </c>
      <c r="L31" s="24">
        <v>6624</v>
      </c>
      <c r="M31" s="3">
        <v>1200</v>
      </c>
      <c r="N31" s="3">
        <v>0</v>
      </c>
      <c r="O31" s="3">
        <v>1620</v>
      </c>
      <c r="P31" s="12">
        <v>1068</v>
      </c>
    </row>
    <row r="32" spans="1:17" ht="18.600000000000001" thickBot="1" x14ac:dyDescent="0.35">
      <c r="A32" s="19" t="s">
        <v>76</v>
      </c>
      <c r="B32" s="15" t="s">
        <v>279</v>
      </c>
      <c r="C32" s="16" t="s">
        <v>284</v>
      </c>
      <c r="D32" s="15" t="s">
        <v>193</v>
      </c>
      <c r="E32" s="15"/>
      <c r="F32" s="15"/>
      <c r="G32" s="17">
        <f t="shared" si="1"/>
        <v>876</v>
      </c>
      <c r="H32" s="17">
        <f t="shared" si="2"/>
        <v>3360</v>
      </c>
      <c r="I32" s="17">
        <f t="shared" si="3"/>
        <v>2484</v>
      </c>
      <c r="J32" s="17">
        <f t="shared" si="4"/>
        <v>5.9142857142857146</v>
      </c>
      <c r="K32" s="17">
        <v>2484</v>
      </c>
      <c r="L32" s="17">
        <v>0</v>
      </c>
      <c r="M32" s="17">
        <v>420</v>
      </c>
      <c r="N32" s="17">
        <v>96</v>
      </c>
      <c r="O32" s="17">
        <v>252</v>
      </c>
      <c r="P32" s="18">
        <v>420</v>
      </c>
    </row>
    <row r="33" spans="1:17" ht="15" thickBot="1" x14ac:dyDescent="0.35">
      <c r="C33"/>
      <c r="F33" s="48"/>
    </row>
    <row r="34" spans="1:17" ht="18" x14ac:dyDescent="0.3">
      <c r="A34" s="6" t="s">
        <v>57</v>
      </c>
      <c r="B34" s="7" t="s">
        <v>279</v>
      </c>
      <c r="C34" s="8" t="s">
        <v>290</v>
      </c>
      <c r="D34" s="7" t="s">
        <v>174</v>
      </c>
      <c r="E34" s="7"/>
      <c r="F34" s="7"/>
      <c r="G34" s="9">
        <f>IF((+H34-I34)&lt;0,"",+H34-I34)</f>
        <v>732</v>
      </c>
      <c r="H34" s="9">
        <f>+$H$3*M34</f>
        <v>960</v>
      </c>
      <c r="I34" s="9">
        <f>+K34+L34</f>
        <v>228</v>
      </c>
      <c r="J34" s="9">
        <f>+I34/M34</f>
        <v>1.9</v>
      </c>
      <c r="K34" s="9">
        <v>228</v>
      </c>
      <c r="L34" s="9">
        <v>0</v>
      </c>
      <c r="M34" s="9">
        <v>120</v>
      </c>
      <c r="N34" s="9">
        <v>0</v>
      </c>
      <c r="O34" s="9">
        <v>0</v>
      </c>
      <c r="P34" s="10">
        <v>84</v>
      </c>
    </row>
    <row r="35" spans="1:17" ht="18" x14ac:dyDescent="0.3">
      <c r="A35" s="11" t="s">
        <v>262</v>
      </c>
      <c r="B35" s="2" t="s">
        <v>281</v>
      </c>
      <c r="C35" s="4" t="s">
        <v>290</v>
      </c>
      <c r="D35" s="2" t="s">
        <v>173</v>
      </c>
      <c r="E35" s="2"/>
      <c r="F35" s="2"/>
      <c r="G35" s="3">
        <f>IF((+H35-I35)&lt;0,"",+H35-I35)</f>
        <v>1524</v>
      </c>
      <c r="H35" s="3">
        <f>+$H$3*M35</f>
        <v>2016</v>
      </c>
      <c r="I35" s="3">
        <f>+K35+L35</f>
        <v>492</v>
      </c>
      <c r="J35" s="3">
        <f>+I35/M35</f>
        <v>1.9523809523809523</v>
      </c>
      <c r="K35" s="3">
        <v>492</v>
      </c>
      <c r="L35" s="3">
        <v>0</v>
      </c>
      <c r="M35" s="3">
        <v>252</v>
      </c>
      <c r="N35" s="3">
        <v>0</v>
      </c>
      <c r="O35" s="3">
        <v>72</v>
      </c>
      <c r="P35" s="12">
        <v>36</v>
      </c>
    </row>
    <row r="36" spans="1:17" ht="18" x14ac:dyDescent="0.3">
      <c r="A36" s="11" t="s">
        <v>310</v>
      </c>
      <c r="B36" s="2"/>
      <c r="C36" s="4"/>
      <c r="D36" s="2"/>
      <c r="E36" s="2"/>
      <c r="F36" s="2"/>
      <c r="G36" s="3">
        <f t="shared" ref="G36:O36" si="5">+SUM(G34:G35)</f>
        <v>2256</v>
      </c>
      <c r="H36" s="3">
        <f t="shared" si="5"/>
        <v>2976</v>
      </c>
      <c r="I36" s="3">
        <f t="shared" si="5"/>
        <v>720</v>
      </c>
      <c r="J36" s="3">
        <f t="shared" si="5"/>
        <v>3.852380952380952</v>
      </c>
      <c r="K36" s="3">
        <f t="shared" si="5"/>
        <v>720</v>
      </c>
      <c r="L36" s="3">
        <f t="shared" si="5"/>
        <v>0</v>
      </c>
      <c r="M36" s="3">
        <f t="shared" si="5"/>
        <v>372</v>
      </c>
      <c r="N36" s="3">
        <f t="shared" si="5"/>
        <v>0</v>
      </c>
      <c r="O36" s="3">
        <f t="shared" si="5"/>
        <v>72</v>
      </c>
      <c r="P36" s="12">
        <f>+SUM(P34:P35)</f>
        <v>120</v>
      </c>
      <c r="Q36" t="s">
        <v>309</v>
      </c>
    </row>
    <row r="37" spans="1:17" ht="18" x14ac:dyDescent="0.3">
      <c r="A37" s="11" t="s">
        <v>51</v>
      </c>
      <c r="B37" s="2" t="s">
        <v>279</v>
      </c>
      <c r="C37" s="4" t="s">
        <v>290</v>
      </c>
      <c r="D37" s="2" t="s">
        <v>168</v>
      </c>
      <c r="E37" s="2"/>
      <c r="F37" s="2"/>
      <c r="G37" s="3">
        <f>IF((+H37-I37)&lt;0,"",+H37-I37)</f>
        <v>16920</v>
      </c>
      <c r="H37" s="3">
        <f>+$H$3*M37</f>
        <v>27456</v>
      </c>
      <c r="I37" s="3">
        <f>+K37+L37</f>
        <v>10536</v>
      </c>
      <c r="J37" s="3">
        <f>+I37/M37</f>
        <v>3.06993006993007</v>
      </c>
      <c r="K37" s="3">
        <v>10536</v>
      </c>
      <c r="L37" s="3">
        <v>0</v>
      </c>
      <c r="M37" s="3">
        <v>3432</v>
      </c>
      <c r="N37" s="3">
        <v>3096</v>
      </c>
      <c r="O37" s="3">
        <v>3384</v>
      </c>
      <c r="P37" s="12">
        <v>1728</v>
      </c>
      <c r="Q37" t="s">
        <v>311</v>
      </c>
    </row>
    <row r="38" spans="1:17" ht="18" x14ac:dyDescent="0.3">
      <c r="A38" s="11" t="s">
        <v>48</v>
      </c>
      <c r="B38" s="2" t="s">
        <v>279</v>
      </c>
      <c r="C38" s="4" t="s">
        <v>290</v>
      </c>
      <c r="D38" s="2" t="s">
        <v>165</v>
      </c>
      <c r="E38" s="2"/>
      <c r="F38" s="2"/>
      <c r="G38" s="3">
        <f>IF((+H38-I38)&lt;0,"",+H38-I38)</f>
        <v>2196</v>
      </c>
      <c r="H38" s="3">
        <f>+$H$3*M38</f>
        <v>3840</v>
      </c>
      <c r="I38" s="3">
        <f>+K38+L38</f>
        <v>1644</v>
      </c>
      <c r="J38" s="3">
        <f>+I38/M38</f>
        <v>3.4249999999999998</v>
      </c>
      <c r="K38" s="3">
        <v>1644</v>
      </c>
      <c r="L38" s="3">
        <v>0</v>
      </c>
      <c r="M38" s="3">
        <v>480</v>
      </c>
      <c r="N38" s="3">
        <v>360</v>
      </c>
      <c r="O38" s="3">
        <v>630</v>
      </c>
      <c r="P38" s="12">
        <v>708</v>
      </c>
    </row>
    <row r="39" spans="1:17" ht="18.600000000000001" thickBot="1" x14ac:dyDescent="0.35">
      <c r="A39" s="19" t="s">
        <v>52</v>
      </c>
      <c r="B39" s="15" t="s">
        <v>279</v>
      </c>
      <c r="C39" s="16" t="s">
        <v>290</v>
      </c>
      <c r="D39" s="15" t="s">
        <v>169</v>
      </c>
      <c r="E39" s="15"/>
      <c r="F39" s="15"/>
      <c r="G39" s="17">
        <f>IF((+H39-I39)&lt;0,"",+H39-I39)</f>
        <v>7243</v>
      </c>
      <c r="H39" s="17">
        <f>+$H$3*M39</f>
        <v>15448</v>
      </c>
      <c r="I39" s="17">
        <f>+K39+L39</f>
        <v>8205</v>
      </c>
      <c r="J39" s="17">
        <f>+I39/M39</f>
        <v>4.2490937338166752</v>
      </c>
      <c r="K39" s="17">
        <v>8205</v>
      </c>
      <c r="L39" s="17">
        <v>0</v>
      </c>
      <c r="M39" s="17">
        <v>1931</v>
      </c>
      <c r="N39" s="17">
        <v>1875</v>
      </c>
      <c r="O39" s="17">
        <v>2535</v>
      </c>
      <c r="P39" s="18">
        <v>2445</v>
      </c>
    </row>
    <row r="40" spans="1:17" ht="15" thickBot="1" x14ac:dyDescent="0.35">
      <c r="F40" s="48"/>
    </row>
  </sheetData>
  <autoFilter ref="A4:P39" xr:uid="{94E6A24D-330E-4ECF-9BD8-2B971B86A7D7}">
    <sortState xmlns:xlrd2="http://schemas.microsoft.com/office/spreadsheetml/2017/richdata2" ref="A5:P39">
      <sortCondition descending="1" ref="G5:G39"/>
      <sortCondition ref="C5:C39"/>
    </sortState>
  </autoFilter>
  <sortState xmlns:xlrd2="http://schemas.microsoft.com/office/spreadsheetml/2017/richdata2" ref="A34:P39">
    <sortCondition ref="J34:J39"/>
  </sortState>
  <mergeCells count="1">
    <mergeCell ref="N3:P3"/>
  </mergeCells>
  <pageMargins left="0.23622047244094491" right="0.23622047244094491" top="0.74803149606299213" bottom="0.74803149606299213" header="0.31496062992125984" footer="0.31496062992125984"/>
  <pageSetup paperSize="9" fitToHeight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531C-60AB-4769-99AF-7157A13DB3B6}">
  <sheetPr>
    <pageSetUpPr fitToPage="1"/>
  </sheetPr>
  <dimension ref="A1:S185"/>
  <sheetViews>
    <sheetView tabSelected="1" topLeftCell="A66" zoomScale="107" zoomScaleNormal="107" workbookViewId="0">
      <selection activeCell="H76" sqref="H76:H78"/>
    </sheetView>
  </sheetViews>
  <sheetFormatPr baseColWidth="10" defaultRowHeight="14.4" x14ac:dyDescent="0.3"/>
  <cols>
    <col min="1" max="1" width="8" customWidth="1"/>
    <col min="2" max="2" width="3.88671875" customWidth="1"/>
    <col min="3" max="3" width="10" style="5" customWidth="1"/>
    <col min="4" max="4" width="25.44140625" customWidth="1"/>
    <col min="5" max="5" width="7.33203125" style="52" customWidth="1"/>
    <col min="6" max="6" width="12.5546875" style="49" customWidth="1"/>
    <col min="7" max="8" width="9.33203125" customWidth="1"/>
    <col min="9" max="9" width="14.6640625" customWidth="1"/>
    <col min="10" max="10" width="7" customWidth="1"/>
    <col min="11" max="12" width="11.88671875" customWidth="1"/>
    <col min="13" max="13" width="10.6640625" bestFit="1" customWidth="1"/>
    <col min="14" max="14" width="9.6640625" customWidth="1"/>
    <col min="15" max="15" width="9.33203125" customWidth="1"/>
    <col min="16" max="16" width="9" customWidth="1"/>
    <col min="17" max="17" width="9.88671875" customWidth="1"/>
    <col min="18" max="18" width="31" customWidth="1"/>
    <col min="19" max="19" width="6.33203125" customWidth="1"/>
  </cols>
  <sheetData>
    <row r="1" spans="1:19" ht="24" thickBot="1" x14ac:dyDescent="0.5">
      <c r="A1" s="167" t="s">
        <v>9</v>
      </c>
      <c r="B1" s="168"/>
      <c r="C1" s="168"/>
      <c r="D1" s="168"/>
      <c r="E1" s="169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70"/>
    </row>
    <row r="2" spans="1:19" ht="15" thickBot="1" x14ac:dyDescent="0.35">
      <c r="A2" s="13"/>
      <c r="B2" t="s">
        <v>319</v>
      </c>
      <c r="C2"/>
    </row>
    <row r="3" spans="1:19" ht="20.25" customHeight="1" thickBot="1" x14ac:dyDescent="0.35">
      <c r="A3" s="26"/>
      <c r="B3" t="s">
        <v>320</v>
      </c>
      <c r="C3" s="1"/>
      <c r="D3" s="1"/>
      <c r="E3" s="66" t="s">
        <v>289</v>
      </c>
      <c r="F3" s="65">
        <f>+SUM(F5:F66)</f>
        <v>0</v>
      </c>
      <c r="G3" s="1"/>
      <c r="H3" s="1"/>
      <c r="I3" s="1">
        <v>8</v>
      </c>
      <c r="J3" s="1"/>
      <c r="K3" s="1"/>
      <c r="L3" s="1"/>
      <c r="M3" s="1"/>
      <c r="N3" s="1"/>
      <c r="O3" s="155" t="s">
        <v>10</v>
      </c>
      <c r="P3" s="156"/>
      <c r="Q3" s="157"/>
    </row>
    <row r="4" spans="1:19" ht="31.8" thickBot="1" x14ac:dyDescent="0.35">
      <c r="A4" s="20" t="s">
        <v>1</v>
      </c>
      <c r="B4" s="23" t="s">
        <v>278</v>
      </c>
      <c r="C4" s="21" t="s">
        <v>0</v>
      </c>
      <c r="D4" s="21" t="s">
        <v>2</v>
      </c>
      <c r="E4" s="53" t="s">
        <v>315</v>
      </c>
      <c r="F4" s="50" t="s">
        <v>314</v>
      </c>
      <c r="G4" s="57" t="s">
        <v>3</v>
      </c>
      <c r="H4" s="88" t="s">
        <v>321</v>
      </c>
      <c r="I4" s="80" t="s">
        <v>4</v>
      </c>
      <c r="J4" s="21" t="s">
        <v>299</v>
      </c>
      <c r="K4" s="21" t="s">
        <v>5</v>
      </c>
      <c r="L4" s="21" t="s">
        <v>6</v>
      </c>
      <c r="M4" s="21" t="s">
        <v>7</v>
      </c>
      <c r="N4" s="21" t="s">
        <v>8</v>
      </c>
      <c r="O4" s="21" t="s">
        <v>245</v>
      </c>
      <c r="P4" s="21" t="s">
        <v>246</v>
      </c>
      <c r="Q4" s="57" t="s">
        <v>247</v>
      </c>
      <c r="R4" s="74" t="s">
        <v>312</v>
      </c>
      <c r="S4" s="75" t="s">
        <v>317</v>
      </c>
    </row>
    <row r="5" spans="1:19" ht="18" x14ac:dyDescent="0.3">
      <c r="A5" s="6" t="s">
        <v>100</v>
      </c>
      <c r="B5" s="7" t="s">
        <v>279</v>
      </c>
      <c r="C5" s="8" t="s">
        <v>286</v>
      </c>
      <c r="D5" s="7" t="s">
        <v>217</v>
      </c>
      <c r="E5" s="68">
        <v>0.49</v>
      </c>
      <c r="F5" s="68">
        <f>+E5*IF(ISNUMBER(H5),H5,G5)</f>
        <v>0</v>
      </c>
      <c r="G5" s="58">
        <f>IF((+I5-M5)&lt;0,0,+I5-M5)</f>
        <v>0</v>
      </c>
      <c r="H5" s="83">
        <v>0</v>
      </c>
      <c r="I5" s="84">
        <f t="shared" ref="I5:I32" si="0">+$I$3*N5</f>
        <v>3360</v>
      </c>
      <c r="J5" s="9">
        <f t="shared" ref="J5:J60" si="1">IFERROR(+M5/N5,"")</f>
        <v>8.0571428571428569</v>
      </c>
      <c r="K5" s="3">
        <f>+IF(B5&lt;&gt;"CH",IFERROR(VLOOKUP(A5,'Stock Loeke'!A:G,7,),),)+IF(B5="CH",IFERROR(VLOOKUP(A5,'Stock Chef'!A:J,10,),0),0)</f>
        <v>216</v>
      </c>
      <c r="L5" s="25">
        <f>2016+1152</f>
        <v>3168</v>
      </c>
      <c r="M5" s="9">
        <f t="shared" ref="M5:M32" si="2">+K5+L5</f>
        <v>3384</v>
      </c>
      <c r="N5" s="9">
        <v>420</v>
      </c>
      <c r="O5" s="9">
        <v>432</v>
      </c>
      <c r="P5" s="9">
        <v>216</v>
      </c>
      <c r="Q5" s="58">
        <v>72</v>
      </c>
      <c r="R5" s="6" t="s">
        <v>326</v>
      </c>
      <c r="S5" s="69" t="s">
        <v>100</v>
      </c>
    </row>
    <row r="6" spans="1:19" ht="18" x14ac:dyDescent="0.3">
      <c r="A6" s="11" t="s">
        <v>112</v>
      </c>
      <c r="B6" s="2" t="s">
        <v>279</v>
      </c>
      <c r="C6" s="4" t="s">
        <v>285</v>
      </c>
      <c r="D6" s="2" t="s">
        <v>229</v>
      </c>
      <c r="E6" s="51">
        <v>0.44</v>
      </c>
      <c r="F6" s="51">
        <f t="shared" ref="F6:F61" si="3">+E6*IF(ISNUMBER(H6),H6,G6)</f>
        <v>0</v>
      </c>
      <c r="G6" s="59">
        <f t="shared" ref="G6:G32" si="4">IF((+I6-M6)&lt;0,0,+I6-M6)</f>
        <v>528</v>
      </c>
      <c r="H6" s="81">
        <v>0</v>
      </c>
      <c r="I6" s="85">
        <f t="shared" si="0"/>
        <v>2112</v>
      </c>
      <c r="J6" s="3">
        <f t="shared" si="1"/>
        <v>6</v>
      </c>
      <c r="K6" s="3">
        <f>+IF(B6&lt;&gt;"CH",IFERROR(VLOOKUP(A6,'Stock Loeke'!A:G,7,),),)+IF(B6="CH",IFERROR(VLOOKUP(A6,'Stock Chef'!A:J,10,),0),0)</f>
        <v>576</v>
      </c>
      <c r="L6" s="24">
        <v>1008</v>
      </c>
      <c r="M6" s="3">
        <f t="shared" si="2"/>
        <v>1584</v>
      </c>
      <c r="N6" s="3">
        <v>264</v>
      </c>
      <c r="O6" s="3">
        <v>864</v>
      </c>
      <c r="P6" s="3">
        <v>180</v>
      </c>
      <c r="Q6" s="59">
        <v>168</v>
      </c>
      <c r="R6" s="11" t="str">
        <f>IFERROR(+VLOOKUP(A6,Quiebres!A:Q,17,0),"")</f>
        <v/>
      </c>
      <c r="S6" s="62" t="s">
        <v>112</v>
      </c>
    </row>
    <row r="7" spans="1:19" ht="18" x14ac:dyDescent="0.3">
      <c r="A7" s="11" t="s">
        <v>85</v>
      </c>
      <c r="B7" s="2" t="s">
        <v>279</v>
      </c>
      <c r="C7" s="4" t="s">
        <v>286</v>
      </c>
      <c r="D7" s="2" t="s">
        <v>202</v>
      </c>
      <c r="E7" s="51">
        <v>0.53</v>
      </c>
      <c r="F7" s="51">
        <f t="shared" si="3"/>
        <v>0</v>
      </c>
      <c r="G7" s="59">
        <f t="shared" si="4"/>
        <v>576</v>
      </c>
      <c r="H7" s="81">
        <v>0</v>
      </c>
      <c r="I7" s="85">
        <f t="shared" si="0"/>
        <v>2400</v>
      </c>
      <c r="J7" s="3">
        <f t="shared" si="1"/>
        <v>6.08</v>
      </c>
      <c r="K7" s="3">
        <f>+IF(B7&lt;&gt;"CH",IFERROR(VLOOKUP(A7,'Stock Loeke'!A:G,7,),),)+IF(B7="CH",IFERROR(VLOOKUP(A7,'Stock Chef'!A:J,10,),0),0)</f>
        <v>816</v>
      </c>
      <c r="L7" s="24">
        <v>1008</v>
      </c>
      <c r="M7" s="3">
        <f t="shared" si="2"/>
        <v>1824</v>
      </c>
      <c r="N7" s="3">
        <v>300</v>
      </c>
      <c r="O7" s="3">
        <v>420</v>
      </c>
      <c r="P7" s="3">
        <v>180</v>
      </c>
      <c r="Q7" s="59">
        <v>336</v>
      </c>
      <c r="R7" s="11" t="str">
        <f>IFERROR(+VLOOKUP(A7,Quiebres!A:Q,17,0),"")</f>
        <v/>
      </c>
      <c r="S7" s="62" t="s">
        <v>85</v>
      </c>
    </row>
    <row r="8" spans="1:19" ht="18" x14ac:dyDescent="0.3">
      <c r="A8" s="11" t="s">
        <v>101</v>
      </c>
      <c r="B8" s="2" t="s">
        <v>279</v>
      </c>
      <c r="C8" s="4" t="s">
        <v>286</v>
      </c>
      <c r="D8" s="2" t="s">
        <v>218</v>
      </c>
      <c r="E8" s="51">
        <v>0.49</v>
      </c>
      <c r="F8" s="51">
        <f t="shared" si="3"/>
        <v>0</v>
      </c>
      <c r="G8" s="59">
        <f t="shared" si="4"/>
        <v>740</v>
      </c>
      <c r="H8" s="81">
        <v>0</v>
      </c>
      <c r="I8" s="85">
        <f t="shared" si="0"/>
        <v>3200</v>
      </c>
      <c r="J8" s="3">
        <f t="shared" si="1"/>
        <v>6.15</v>
      </c>
      <c r="K8" s="3">
        <f>+IF(B8&lt;&gt;"CH",IFERROR(VLOOKUP(A8,'Stock Loeke'!A:G,7,),),)+IF(B8="CH",IFERROR(VLOOKUP(A8,'Stock Chef'!A:J,10,),0),0)</f>
        <v>12</v>
      </c>
      <c r="L8" s="24">
        <v>2448</v>
      </c>
      <c r="M8" s="3">
        <f t="shared" si="2"/>
        <v>2460</v>
      </c>
      <c r="N8" s="3">
        <v>400</v>
      </c>
      <c r="O8" s="3">
        <v>504</v>
      </c>
      <c r="P8" s="3">
        <v>228</v>
      </c>
      <c r="Q8" s="59">
        <v>144</v>
      </c>
      <c r="R8" s="11" t="str">
        <f>IFERROR(+VLOOKUP(A8,Quiebres!A:Q,17,0),"")</f>
        <v/>
      </c>
      <c r="S8" s="62" t="s">
        <v>101</v>
      </c>
    </row>
    <row r="9" spans="1:19" ht="18" x14ac:dyDescent="0.3">
      <c r="A9" s="11" t="s">
        <v>122</v>
      </c>
      <c r="B9" s="2" t="s">
        <v>279</v>
      </c>
      <c r="C9" s="4" t="s">
        <v>289</v>
      </c>
      <c r="D9" s="2" t="s">
        <v>239</v>
      </c>
      <c r="E9" s="51">
        <v>0.61</v>
      </c>
      <c r="F9" s="51">
        <f t="shared" ref="F9:F16" si="5">+E9*IF(ISNUMBER(H9),H9,G9)</f>
        <v>0</v>
      </c>
      <c r="G9" s="59">
        <f t="shared" ref="G9:G16" si="6">IF((+I9-M9)&lt;0,0,+I9-M9)</f>
        <v>0</v>
      </c>
      <c r="H9" s="81">
        <v>0</v>
      </c>
      <c r="I9" s="85">
        <f t="shared" ref="I9:I16" si="7">+$I$3*N9</f>
        <v>576</v>
      </c>
      <c r="J9" s="3">
        <f t="shared" ref="J9:J16" si="8">IFERROR(+M9/N9,"")</f>
        <v>8</v>
      </c>
      <c r="K9" s="3">
        <f>+IF(B9&lt;&gt;"CH",IFERROR(VLOOKUP(A9,'Stock Loeke'!A:G,7,),),)+IF(B9="CH",IFERROR(VLOOKUP(A9,'Stock Chef'!A:J,10,),0),0)</f>
        <v>0</v>
      </c>
      <c r="L9" s="3">
        <v>576</v>
      </c>
      <c r="M9" s="3">
        <f t="shared" ref="M9:M16" si="9">+K9+L9</f>
        <v>576</v>
      </c>
      <c r="N9" s="3">
        <v>72</v>
      </c>
      <c r="O9" s="3">
        <v>0</v>
      </c>
      <c r="P9" s="3">
        <v>72</v>
      </c>
      <c r="Q9" s="59">
        <v>36</v>
      </c>
      <c r="R9" s="11"/>
      <c r="S9" s="62"/>
    </row>
    <row r="10" spans="1:19" ht="18" x14ac:dyDescent="0.3">
      <c r="A10" s="11" t="s">
        <v>127</v>
      </c>
      <c r="B10" s="2" t="s">
        <v>279</v>
      </c>
      <c r="C10" s="4" t="s">
        <v>289</v>
      </c>
      <c r="D10" s="2" t="s">
        <v>244</v>
      </c>
      <c r="E10" s="51">
        <v>1.27</v>
      </c>
      <c r="F10" s="51">
        <f t="shared" si="5"/>
        <v>0</v>
      </c>
      <c r="G10" s="59">
        <f t="shared" si="6"/>
        <v>0</v>
      </c>
      <c r="H10" s="81">
        <v>0</v>
      </c>
      <c r="I10" s="85">
        <f t="shared" si="7"/>
        <v>576</v>
      </c>
      <c r="J10" s="3">
        <f t="shared" si="8"/>
        <v>8</v>
      </c>
      <c r="K10" s="3">
        <f>+IF(B10&lt;&gt;"CH",IFERROR(VLOOKUP(A10,'Stock Loeke'!A:G,7,),),)+IF(B10="CH",IFERROR(VLOOKUP(A10,'Stock Chef'!A:J,10,),0),0)</f>
        <v>0</v>
      </c>
      <c r="L10" s="3">
        <v>576</v>
      </c>
      <c r="M10" s="3">
        <f t="shared" si="9"/>
        <v>576</v>
      </c>
      <c r="N10" s="3">
        <v>72</v>
      </c>
      <c r="O10" s="3">
        <v>0</v>
      </c>
      <c r="P10" s="3">
        <v>72</v>
      </c>
      <c r="Q10" s="59">
        <v>48</v>
      </c>
      <c r="R10" s="11"/>
      <c r="S10" s="62"/>
    </row>
    <row r="11" spans="1:19" ht="18" x14ac:dyDescent="0.3">
      <c r="A11" s="11" t="s">
        <v>123</v>
      </c>
      <c r="B11" s="2" t="s">
        <v>279</v>
      </c>
      <c r="C11" s="4" t="s">
        <v>289</v>
      </c>
      <c r="D11" s="2" t="s">
        <v>240</v>
      </c>
      <c r="E11" s="51">
        <v>0.6</v>
      </c>
      <c r="F11" s="51">
        <f t="shared" si="5"/>
        <v>0</v>
      </c>
      <c r="G11" s="59">
        <f t="shared" si="6"/>
        <v>0</v>
      </c>
      <c r="H11" s="81">
        <v>0</v>
      </c>
      <c r="I11" s="85">
        <f t="shared" si="7"/>
        <v>480</v>
      </c>
      <c r="J11" s="3">
        <f t="shared" si="8"/>
        <v>9.6</v>
      </c>
      <c r="K11" s="3">
        <f>+IF(B11&lt;&gt;"CH",IFERROR(VLOOKUP(A11,'Stock Loeke'!A:G,7,),),)+IF(B11="CH",IFERROR(VLOOKUP(A11,'Stock Chef'!A:J,10,),0),0)</f>
        <v>0</v>
      </c>
      <c r="L11" s="3">
        <v>576</v>
      </c>
      <c r="M11" s="3">
        <f t="shared" si="9"/>
        <v>576</v>
      </c>
      <c r="N11" s="3">
        <v>60</v>
      </c>
      <c r="O11" s="3">
        <v>0</v>
      </c>
      <c r="P11" s="3">
        <v>60</v>
      </c>
      <c r="Q11" s="59">
        <v>24</v>
      </c>
      <c r="R11" s="11"/>
      <c r="S11" s="62"/>
    </row>
    <row r="12" spans="1:19" ht="18" x14ac:dyDescent="0.3">
      <c r="A12" s="11" t="s">
        <v>124</v>
      </c>
      <c r="B12" s="2" t="s">
        <v>279</v>
      </c>
      <c r="C12" s="4" t="s">
        <v>289</v>
      </c>
      <c r="D12" s="2" t="s">
        <v>241</v>
      </c>
      <c r="E12" s="51">
        <v>0.52</v>
      </c>
      <c r="F12" s="51">
        <f t="shared" si="5"/>
        <v>0</v>
      </c>
      <c r="G12" s="59">
        <f t="shared" si="6"/>
        <v>0</v>
      </c>
      <c r="H12" s="81">
        <v>0</v>
      </c>
      <c r="I12" s="85">
        <f t="shared" si="7"/>
        <v>480</v>
      </c>
      <c r="J12" s="3">
        <f t="shared" si="8"/>
        <v>9.6</v>
      </c>
      <c r="K12" s="3">
        <f>+IF(B12&lt;&gt;"CH",IFERROR(VLOOKUP(A12,'Stock Loeke'!A:G,7,),),)+IF(B12="CH",IFERROR(VLOOKUP(A12,'Stock Chef'!A:J,10,),0),0)</f>
        <v>0</v>
      </c>
      <c r="L12" s="3">
        <v>576</v>
      </c>
      <c r="M12" s="3">
        <f t="shared" si="9"/>
        <v>576</v>
      </c>
      <c r="N12" s="3">
        <v>60</v>
      </c>
      <c r="O12" s="3">
        <v>0</v>
      </c>
      <c r="P12" s="3">
        <v>60</v>
      </c>
      <c r="Q12" s="59">
        <v>24</v>
      </c>
      <c r="R12" s="11"/>
      <c r="S12" s="62"/>
    </row>
    <row r="13" spans="1:19" ht="18" x14ac:dyDescent="0.3">
      <c r="A13" s="11" t="s">
        <v>1168</v>
      </c>
      <c r="B13" s="2" t="s">
        <v>279</v>
      </c>
      <c r="C13" s="4" t="s">
        <v>289</v>
      </c>
      <c r="D13" s="2" t="s">
        <v>1169</v>
      </c>
      <c r="E13" s="51">
        <v>0.61</v>
      </c>
      <c r="F13" s="51">
        <f t="shared" ref="F13" si="10">+E13*IF(ISNUMBER(H13),H13,G13)</f>
        <v>0</v>
      </c>
      <c r="G13" s="59">
        <f t="shared" ref="G13" si="11">IF((+I13-M13)&lt;0,0,+I13-M13)</f>
        <v>0</v>
      </c>
      <c r="H13" s="81">
        <v>0</v>
      </c>
      <c r="I13" s="85">
        <f t="shared" ref="I13" si="12">+$I$3*N13</f>
        <v>480</v>
      </c>
      <c r="J13" s="3">
        <f t="shared" ref="J13" si="13">IFERROR(+M13/N13,"")</f>
        <v>9.6</v>
      </c>
      <c r="K13" s="3">
        <f>+IF(B13&lt;&gt;"CH",IFERROR(VLOOKUP(A13,'Stock Loeke'!A:G,7,),),)+IF(B13="CH",IFERROR(VLOOKUP(A13,'Stock Chef'!A:J,10,),0),0)</f>
        <v>0</v>
      </c>
      <c r="L13" s="3">
        <v>576</v>
      </c>
      <c r="M13" s="3">
        <f t="shared" ref="M13" si="14">+K13+L13</f>
        <v>576</v>
      </c>
      <c r="N13" s="3">
        <v>60</v>
      </c>
      <c r="O13" s="3">
        <v>0</v>
      </c>
      <c r="P13" s="3">
        <v>60</v>
      </c>
      <c r="Q13" s="59">
        <v>24</v>
      </c>
      <c r="R13" s="11"/>
      <c r="S13" s="62"/>
    </row>
    <row r="14" spans="1:19" ht="18" x14ac:dyDescent="0.3">
      <c r="A14" s="11" t="s">
        <v>126</v>
      </c>
      <c r="B14" s="2" t="s">
        <v>279</v>
      </c>
      <c r="C14" s="4" t="s">
        <v>289</v>
      </c>
      <c r="D14" s="2" t="s">
        <v>243</v>
      </c>
      <c r="E14" s="51">
        <v>1.36</v>
      </c>
      <c r="F14" s="51">
        <f t="shared" si="5"/>
        <v>0</v>
      </c>
      <c r="G14" s="59">
        <f t="shared" si="6"/>
        <v>0</v>
      </c>
      <c r="H14" s="81">
        <v>0</v>
      </c>
      <c r="I14" s="85">
        <f t="shared" si="7"/>
        <v>480</v>
      </c>
      <c r="J14" s="3">
        <f t="shared" si="8"/>
        <v>9.6</v>
      </c>
      <c r="K14" s="3">
        <f>+IF(B14&lt;&gt;"CH",IFERROR(VLOOKUP(A14,'Stock Loeke'!A:G,7,),),)+IF(B14="CH",IFERROR(VLOOKUP(A14,'Stock Chef'!A:J,10,),0),0)</f>
        <v>0</v>
      </c>
      <c r="L14" s="3">
        <v>576</v>
      </c>
      <c r="M14" s="3">
        <f t="shared" si="9"/>
        <v>576</v>
      </c>
      <c r="N14" s="3">
        <v>60</v>
      </c>
      <c r="O14" s="3">
        <v>0</v>
      </c>
      <c r="P14" s="3">
        <v>60</v>
      </c>
      <c r="Q14" s="59">
        <v>24</v>
      </c>
      <c r="R14" s="11"/>
      <c r="S14" s="62"/>
    </row>
    <row r="15" spans="1:19" ht="18" x14ac:dyDescent="0.3">
      <c r="A15" s="11" t="s">
        <v>121</v>
      </c>
      <c r="B15" s="2" t="s">
        <v>279</v>
      </c>
      <c r="C15" s="4" t="s">
        <v>289</v>
      </c>
      <c r="D15" s="2" t="s">
        <v>238</v>
      </c>
      <c r="E15" s="51">
        <v>0.56000000000000005</v>
      </c>
      <c r="F15" s="51">
        <f t="shared" si="5"/>
        <v>0</v>
      </c>
      <c r="G15" s="59">
        <f t="shared" si="6"/>
        <v>0</v>
      </c>
      <c r="H15" s="81">
        <v>0</v>
      </c>
      <c r="I15" s="85">
        <f t="shared" si="7"/>
        <v>288</v>
      </c>
      <c r="J15" s="3">
        <f t="shared" si="8"/>
        <v>16</v>
      </c>
      <c r="K15" s="3">
        <f>+IF(B15&lt;&gt;"CH",IFERROR(VLOOKUP(A15,'Stock Loeke'!A:G,7,),),)+IF(B15="CH",IFERROR(VLOOKUP(A15,'Stock Chef'!A:J,10,),0),0)</f>
        <v>0</v>
      </c>
      <c r="L15" s="3">
        <v>576</v>
      </c>
      <c r="M15" s="3">
        <f t="shared" si="9"/>
        <v>576</v>
      </c>
      <c r="N15" s="3">
        <v>36</v>
      </c>
      <c r="O15" s="3">
        <v>0</v>
      </c>
      <c r="P15" s="3">
        <v>36</v>
      </c>
      <c r="Q15" s="59">
        <v>24</v>
      </c>
      <c r="R15" s="11"/>
      <c r="S15" s="62"/>
    </row>
    <row r="16" spans="1:19" ht="18" x14ac:dyDescent="0.3">
      <c r="A16" s="11" t="s">
        <v>125</v>
      </c>
      <c r="B16" s="2" t="s">
        <v>279</v>
      </c>
      <c r="C16" s="4" t="s">
        <v>289</v>
      </c>
      <c r="D16" s="2" t="s">
        <v>242</v>
      </c>
      <c r="E16" s="51">
        <v>0.71</v>
      </c>
      <c r="F16" s="51">
        <f t="shared" si="5"/>
        <v>0</v>
      </c>
      <c r="G16" s="59">
        <f t="shared" si="6"/>
        <v>0</v>
      </c>
      <c r="H16" s="81">
        <v>0</v>
      </c>
      <c r="I16" s="85">
        <f t="shared" si="7"/>
        <v>192</v>
      </c>
      <c r="J16" s="3">
        <f t="shared" si="8"/>
        <v>24</v>
      </c>
      <c r="K16" s="3">
        <f>+IF(B16&lt;&gt;"CH",IFERROR(VLOOKUP(A16,'Stock Loeke'!A:G,7,),),)+IF(B16="CH",IFERROR(VLOOKUP(A16,'Stock Chef'!A:J,10,),0),0)</f>
        <v>0</v>
      </c>
      <c r="L16" s="3">
        <v>576</v>
      </c>
      <c r="M16" s="3">
        <f t="shared" si="9"/>
        <v>576</v>
      </c>
      <c r="N16" s="3">
        <v>24</v>
      </c>
      <c r="O16" s="3">
        <v>0</v>
      </c>
      <c r="P16" s="3">
        <v>24</v>
      </c>
      <c r="Q16" s="59">
        <v>24</v>
      </c>
      <c r="R16" s="11"/>
      <c r="S16" s="62"/>
    </row>
    <row r="17" spans="1:19" ht="18" x14ac:dyDescent="0.3">
      <c r="A17" s="11" t="s">
        <v>65</v>
      </c>
      <c r="B17" s="2" t="s">
        <v>279</v>
      </c>
      <c r="C17" s="4" t="s">
        <v>286</v>
      </c>
      <c r="D17" s="2" t="s">
        <v>182</v>
      </c>
      <c r="E17" s="51">
        <v>0.56000000000000005</v>
      </c>
      <c r="F17" s="51">
        <f t="shared" si="3"/>
        <v>0</v>
      </c>
      <c r="G17" s="59">
        <f t="shared" si="4"/>
        <v>288</v>
      </c>
      <c r="H17" s="81">
        <v>0</v>
      </c>
      <c r="I17" s="85">
        <f t="shared" si="0"/>
        <v>2880</v>
      </c>
      <c r="J17" s="3">
        <f t="shared" si="1"/>
        <v>7.2</v>
      </c>
      <c r="K17" s="3">
        <f>+IF(B17&lt;&gt;"CH",IFERROR(VLOOKUP(A17,'Stock Loeke'!A:G,7,),),)+IF(B17="CH",IFERROR(VLOOKUP(A17,'Stock Chef'!A:J,10,),0),0)</f>
        <v>1032</v>
      </c>
      <c r="L17" s="24">
        <v>1560</v>
      </c>
      <c r="M17" s="3">
        <f t="shared" si="2"/>
        <v>2592</v>
      </c>
      <c r="N17" s="3">
        <v>360</v>
      </c>
      <c r="O17" s="3">
        <v>300</v>
      </c>
      <c r="P17" s="3">
        <v>228</v>
      </c>
      <c r="Q17" s="59">
        <v>456</v>
      </c>
      <c r="R17" s="11" t="str">
        <f>IFERROR(+VLOOKUP(A17,Quiebres!A:Q,17,0),"")</f>
        <v/>
      </c>
      <c r="S17" s="62" t="s">
        <v>65</v>
      </c>
    </row>
    <row r="18" spans="1:19" ht="18" x14ac:dyDescent="0.3">
      <c r="A18" s="11" t="s">
        <v>66</v>
      </c>
      <c r="B18" s="2" t="s">
        <v>279</v>
      </c>
      <c r="C18" s="4" t="s">
        <v>286</v>
      </c>
      <c r="D18" s="2" t="s">
        <v>183</v>
      </c>
      <c r="E18" s="51">
        <v>0.26</v>
      </c>
      <c r="F18" s="51">
        <f t="shared" si="3"/>
        <v>0</v>
      </c>
      <c r="G18" s="59">
        <f t="shared" si="4"/>
        <v>540</v>
      </c>
      <c r="H18" s="81">
        <v>0</v>
      </c>
      <c r="I18" s="85">
        <f t="shared" si="0"/>
        <v>7200</v>
      </c>
      <c r="J18" s="3">
        <f t="shared" si="1"/>
        <v>7.4</v>
      </c>
      <c r="K18" s="3">
        <f>+IF(B18&lt;&gt;"CH",IFERROR(VLOOKUP(A18,'Stock Loeke'!A:G,7,),),)+IF(B18="CH",IFERROR(VLOOKUP(A18,'Stock Chef'!A:J,10,),0),0)</f>
        <v>5220</v>
      </c>
      <c r="L18" s="24">
        <v>1440</v>
      </c>
      <c r="M18" s="3">
        <f t="shared" si="2"/>
        <v>6660</v>
      </c>
      <c r="N18" s="3">
        <v>900</v>
      </c>
      <c r="O18" s="3">
        <v>144</v>
      </c>
      <c r="P18" s="3">
        <v>288</v>
      </c>
      <c r="Q18" s="59">
        <v>816</v>
      </c>
      <c r="R18" s="11" t="str">
        <f>IFERROR(+VLOOKUP(A18,Quiebres!A:Q,17,0),"")</f>
        <v/>
      </c>
      <c r="S18" s="62" t="s">
        <v>66</v>
      </c>
    </row>
    <row r="19" spans="1:19" ht="18" x14ac:dyDescent="0.3">
      <c r="A19" s="11" t="s">
        <v>90</v>
      </c>
      <c r="B19" s="2" t="s">
        <v>279</v>
      </c>
      <c r="C19" s="4" t="s">
        <v>285</v>
      </c>
      <c r="D19" s="2" t="s">
        <v>207</v>
      </c>
      <c r="E19" s="51">
        <v>0.66</v>
      </c>
      <c r="F19" s="51">
        <f t="shared" si="3"/>
        <v>0</v>
      </c>
      <c r="G19" s="59">
        <f t="shared" si="4"/>
        <v>128</v>
      </c>
      <c r="H19" s="81">
        <v>0</v>
      </c>
      <c r="I19" s="85">
        <f t="shared" si="0"/>
        <v>3200</v>
      </c>
      <c r="J19" s="3">
        <f t="shared" si="1"/>
        <v>7.68</v>
      </c>
      <c r="K19" s="3">
        <f>+IF(B19&lt;&gt;"CH",IFERROR(VLOOKUP(A19,'Stock Loeke'!A:G,7,),),)+IF(B19="CH",IFERROR(VLOOKUP(A19,'Stock Chef'!A:J,10,),0),0)</f>
        <v>624</v>
      </c>
      <c r="L19" s="24">
        <v>2448</v>
      </c>
      <c r="M19" s="3">
        <f t="shared" si="2"/>
        <v>3072</v>
      </c>
      <c r="N19" s="3">
        <v>400</v>
      </c>
      <c r="O19" s="3">
        <v>0</v>
      </c>
      <c r="P19" s="3">
        <v>264</v>
      </c>
      <c r="Q19" s="59">
        <v>216</v>
      </c>
      <c r="R19" s="11" t="str">
        <f>IFERROR(+VLOOKUP(A19,Quiebres!A:Q,17,0),"")</f>
        <v/>
      </c>
      <c r="S19" s="62" t="s">
        <v>90</v>
      </c>
    </row>
    <row r="20" spans="1:19" ht="18" x14ac:dyDescent="0.3">
      <c r="A20" s="11" t="s">
        <v>60</v>
      </c>
      <c r="B20" s="2" t="s">
        <v>279</v>
      </c>
      <c r="C20" s="4" t="s">
        <v>291</v>
      </c>
      <c r="D20" s="2" t="s">
        <v>177</v>
      </c>
      <c r="E20" s="51">
        <v>0.73499999999999999</v>
      </c>
      <c r="F20" s="51">
        <f t="shared" si="3"/>
        <v>0</v>
      </c>
      <c r="G20" s="115">
        <f t="shared" si="4"/>
        <v>3448</v>
      </c>
      <c r="H20" s="81">
        <v>0</v>
      </c>
      <c r="I20" s="85">
        <f t="shared" si="0"/>
        <v>5776</v>
      </c>
      <c r="J20" s="3">
        <f>IFERROR(+M20/N20,"")</f>
        <v>3.2243767313019389</v>
      </c>
      <c r="K20" s="3">
        <f>+IF(B20&lt;&gt;"CH",IFERROR(VLOOKUP(A20,'Stock Loeke'!A:G,7,),),)+IF(B20="CH",IFERROR(VLOOKUP(A20,'Stock Chef'!A:J,10,),0),0)</f>
        <v>2328</v>
      </c>
      <c r="L20" s="3">
        <v>0</v>
      </c>
      <c r="M20" s="3">
        <f t="shared" si="2"/>
        <v>2328</v>
      </c>
      <c r="N20" s="102">
        <v>722</v>
      </c>
      <c r="O20" s="3">
        <v>288</v>
      </c>
      <c r="P20" s="3">
        <v>228</v>
      </c>
      <c r="Q20" s="59">
        <v>252</v>
      </c>
      <c r="R20" s="11" t="str">
        <f>IFERROR(+VLOOKUP(A20,Quiebres!A:Q,17,0),"")</f>
        <v/>
      </c>
      <c r="S20" s="62" t="s">
        <v>60</v>
      </c>
    </row>
    <row r="21" spans="1:19" ht="18" x14ac:dyDescent="0.3">
      <c r="A21" s="11" t="s">
        <v>105</v>
      </c>
      <c r="B21" s="2" t="s">
        <v>279</v>
      </c>
      <c r="C21" s="4" t="s">
        <v>286</v>
      </c>
      <c r="D21" s="2" t="s">
        <v>222</v>
      </c>
      <c r="E21" s="51">
        <v>0.49</v>
      </c>
      <c r="F21" s="51">
        <f t="shared" si="3"/>
        <v>0</v>
      </c>
      <c r="G21" s="59">
        <f t="shared" si="4"/>
        <v>60</v>
      </c>
      <c r="H21" s="81">
        <v>0</v>
      </c>
      <c r="I21" s="85">
        <f t="shared" si="0"/>
        <v>2400</v>
      </c>
      <c r="J21" s="3">
        <f t="shared" si="1"/>
        <v>7.8</v>
      </c>
      <c r="K21" s="3">
        <f>+IF(B21&lt;&gt;"CH",IFERROR(VLOOKUP(A21,'Stock Loeke'!A:G,7,),),)+IF(B21="CH",IFERROR(VLOOKUP(A21,'Stock Chef'!A:J,10,),0),0)</f>
        <v>612</v>
      </c>
      <c r="L21" s="24">
        <v>1728</v>
      </c>
      <c r="M21" s="3">
        <f t="shared" si="2"/>
        <v>2340</v>
      </c>
      <c r="N21" s="3">
        <v>300</v>
      </c>
      <c r="O21" s="3">
        <v>12</v>
      </c>
      <c r="P21" s="3">
        <v>312</v>
      </c>
      <c r="Q21" s="59">
        <v>60</v>
      </c>
      <c r="R21" s="11" t="str">
        <f>IFERROR(+VLOOKUP(A21,Quiebres!A:Q,17,0),"")</f>
        <v/>
      </c>
      <c r="S21" s="62" t="s">
        <v>105</v>
      </c>
    </row>
    <row r="22" spans="1:19" ht="18" x14ac:dyDescent="0.3">
      <c r="A22" s="11" t="s">
        <v>95</v>
      </c>
      <c r="B22" s="2" t="s">
        <v>279</v>
      </c>
      <c r="C22" s="4" t="s">
        <v>285</v>
      </c>
      <c r="D22" s="2" t="s">
        <v>212</v>
      </c>
      <c r="E22" s="51">
        <v>0.66</v>
      </c>
      <c r="F22" s="51">
        <f t="shared" si="3"/>
        <v>0</v>
      </c>
      <c r="G22" s="59">
        <f t="shared" si="4"/>
        <v>40</v>
      </c>
      <c r="H22" s="81">
        <v>0</v>
      </c>
      <c r="I22" s="85">
        <f t="shared" si="0"/>
        <v>3040</v>
      </c>
      <c r="J22" s="3">
        <f t="shared" si="1"/>
        <v>7.8947368421052628</v>
      </c>
      <c r="K22" s="3">
        <f>+IF(B22&lt;&gt;"CH",IFERROR(VLOOKUP(A22,'Stock Loeke'!A:G,7,),),)+IF(B22="CH",IFERROR(VLOOKUP(A22,'Stock Chef'!A:J,10,),0),0)</f>
        <v>696</v>
      </c>
      <c r="L22" s="24">
        <v>2304</v>
      </c>
      <c r="M22" s="3">
        <f t="shared" si="2"/>
        <v>3000</v>
      </c>
      <c r="N22" s="3">
        <v>380</v>
      </c>
      <c r="O22" s="3">
        <v>0</v>
      </c>
      <c r="P22" s="3">
        <v>252</v>
      </c>
      <c r="Q22" s="12">
        <v>84</v>
      </c>
      <c r="R22" s="11" t="str">
        <f>IFERROR(+VLOOKUP(A22,Quiebres!A:Q,17,0),"")</f>
        <v/>
      </c>
      <c r="S22" s="62" t="s">
        <v>95</v>
      </c>
    </row>
    <row r="23" spans="1:19" ht="18" x14ac:dyDescent="0.3">
      <c r="A23" s="11" t="s">
        <v>114</v>
      </c>
      <c r="B23" s="2" t="s">
        <v>279</v>
      </c>
      <c r="C23" s="4" t="s">
        <v>289</v>
      </c>
      <c r="D23" s="2" t="s">
        <v>231</v>
      </c>
      <c r="E23" s="51">
        <v>0.96</v>
      </c>
      <c r="F23" s="51">
        <f t="shared" si="3"/>
        <v>0</v>
      </c>
      <c r="G23" s="59">
        <f t="shared" si="4"/>
        <v>0</v>
      </c>
      <c r="H23" s="81">
        <v>0</v>
      </c>
      <c r="I23" s="85">
        <f t="shared" si="0"/>
        <v>672</v>
      </c>
      <c r="J23" s="3">
        <f t="shared" si="1"/>
        <v>8</v>
      </c>
      <c r="K23" s="3">
        <f>+IF(B23&lt;&gt;"CH",IFERROR(VLOOKUP(A23,'Stock Loeke'!A:G,7,),),)+IF(B23="CH",IFERROR(VLOOKUP(A23,'Stock Chef'!A:J,10,),0),0)</f>
        <v>672</v>
      </c>
      <c r="L23" s="3">
        <v>0</v>
      </c>
      <c r="M23" s="3">
        <f t="shared" si="2"/>
        <v>672</v>
      </c>
      <c r="N23" s="3">
        <v>84</v>
      </c>
      <c r="O23" s="3">
        <v>12</v>
      </c>
      <c r="P23" s="3">
        <v>60</v>
      </c>
      <c r="Q23" s="59">
        <v>84</v>
      </c>
      <c r="R23" s="11" t="str">
        <f>IFERROR(+VLOOKUP(A23,Quiebres!A:Q,17,0),"")</f>
        <v/>
      </c>
      <c r="S23" s="62" t="s">
        <v>114</v>
      </c>
    </row>
    <row r="24" spans="1:19" ht="18" x14ac:dyDescent="0.3">
      <c r="A24" s="11" t="s">
        <v>102</v>
      </c>
      <c r="B24" s="2" t="s">
        <v>279</v>
      </c>
      <c r="C24" s="4" t="s">
        <v>286</v>
      </c>
      <c r="D24" s="2" t="s">
        <v>219</v>
      </c>
      <c r="E24" s="51">
        <v>0.49</v>
      </c>
      <c r="F24" s="51">
        <f t="shared" si="3"/>
        <v>0</v>
      </c>
      <c r="G24" s="59">
        <f t="shared" si="4"/>
        <v>0</v>
      </c>
      <c r="H24" s="81">
        <v>0</v>
      </c>
      <c r="I24" s="85">
        <f t="shared" si="0"/>
        <v>3360</v>
      </c>
      <c r="J24" s="3">
        <f t="shared" si="1"/>
        <v>8.2857142857142865</v>
      </c>
      <c r="K24" s="3">
        <f>+IF(B24&lt;&gt;"CH",IFERROR(VLOOKUP(A24,'Stock Loeke'!A:G,7,),),)+IF(B24="CH",IFERROR(VLOOKUP(A24,'Stock Chef'!A:J,10,),0),0)</f>
        <v>312</v>
      </c>
      <c r="L24" s="24">
        <v>3168</v>
      </c>
      <c r="M24" s="3">
        <f t="shared" si="2"/>
        <v>3480</v>
      </c>
      <c r="N24" s="3">
        <v>420</v>
      </c>
      <c r="O24" s="3">
        <v>456</v>
      </c>
      <c r="P24" s="3">
        <v>432</v>
      </c>
      <c r="Q24" s="59">
        <v>156</v>
      </c>
      <c r="R24" s="11" t="str">
        <f>IFERROR(+VLOOKUP(A24,Quiebres!A:Q,17,0),"")</f>
        <v/>
      </c>
      <c r="S24" s="62" t="s">
        <v>102</v>
      </c>
    </row>
    <row r="25" spans="1:19" ht="18" x14ac:dyDescent="0.3">
      <c r="A25" s="11" t="s">
        <v>94</v>
      </c>
      <c r="B25" s="2" t="s">
        <v>279</v>
      </c>
      <c r="C25" s="4" t="s">
        <v>289</v>
      </c>
      <c r="D25" s="2" t="s">
        <v>211</v>
      </c>
      <c r="E25" s="51">
        <v>0.66</v>
      </c>
      <c r="F25" s="51">
        <f t="shared" si="3"/>
        <v>0</v>
      </c>
      <c r="G25" s="59">
        <f t="shared" si="4"/>
        <v>0</v>
      </c>
      <c r="H25" s="81">
        <v>0</v>
      </c>
      <c r="I25" s="85">
        <f t="shared" si="0"/>
        <v>3040</v>
      </c>
      <c r="J25" s="3">
        <f t="shared" si="1"/>
        <v>8.7473684210526308</v>
      </c>
      <c r="K25" s="3">
        <f>+IF(B25&lt;&gt;"CH",IFERROR(VLOOKUP(A25,'Stock Loeke'!A:G,7,),),)+IF(B25="CH",IFERROR(VLOOKUP(A25,'Stock Chef'!A:J,10,),0),0)</f>
        <v>-276</v>
      </c>
      <c r="L25" s="3">
        <v>3600</v>
      </c>
      <c r="M25" s="3">
        <f t="shared" si="2"/>
        <v>3324</v>
      </c>
      <c r="N25" s="3">
        <v>380</v>
      </c>
      <c r="O25" s="3">
        <v>12</v>
      </c>
      <c r="P25" s="3">
        <v>276</v>
      </c>
      <c r="Q25" s="59">
        <v>252</v>
      </c>
      <c r="R25" s="11" t="str">
        <f>IFERROR(+VLOOKUP(A25,Quiebres!A:Q,17,0),"")</f>
        <v/>
      </c>
      <c r="S25" s="62" t="s">
        <v>94</v>
      </c>
    </row>
    <row r="26" spans="1:19" ht="18" x14ac:dyDescent="0.3">
      <c r="A26" s="11" t="s">
        <v>92</v>
      </c>
      <c r="B26" s="2" t="s">
        <v>279</v>
      </c>
      <c r="C26" s="4" t="s">
        <v>285</v>
      </c>
      <c r="D26" s="2" t="s">
        <v>209</v>
      </c>
      <c r="E26" s="51">
        <v>0.66</v>
      </c>
      <c r="F26" s="51">
        <f t="shared" si="3"/>
        <v>0</v>
      </c>
      <c r="G26" s="59">
        <f t="shared" si="4"/>
        <v>2272</v>
      </c>
      <c r="H26" s="81">
        <v>0</v>
      </c>
      <c r="I26" s="85">
        <f t="shared" si="0"/>
        <v>4000</v>
      </c>
      <c r="J26" s="3">
        <f t="shared" si="1"/>
        <v>3.456</v>
      </c>
      <c r="K26" s="3">
        <f>+IF(B26&lt;&gt;"CH",IFERROR(VLOOKUP(A26,'Stock Loeke'!A:G,7,),),)+IF(B26="CH",IFERROR(VLOOKUP(A26,'Stock Chef'!A:J,10,),0),0)</f>
        <v>-288</v>
      </c>
      <c r="L26" s="24">
        <v>2016</v>
      </c>
      <c r="M26" s="3">
        <f t="shared" si="2"/>
        <v>1728</v>
      </c>
      <c r="N26" s="3">
        <v>500</v>
      </c>
      <c r="O26" s="3">
        <v>0</v>
      </c>
      <c r="P26" s="3">
        <v>264</v>
      </c>
      <c r="Q26" s="59">
        <v>384</v>
      </c>
      <c r="R26" s="11" t="str">
        <f>IFERROR(+VLOOKUP(A26,Quiebres!A:Q,17,0),"")</f>
        <v/>
      </c>
      <c r="S26" s="62" t="s">
        <v>92</v>
      </c>
    </row>
    <row r="27" spans="1:19" ht="18" x14ac:dyDescent="0.3">
      <c r="A27" s="11" t="s">
        <v>91</v>
      </c>
      <c r="B27" s="2" t="s">
        <v>279</v>
      </c>
      <c r="C27" s="4" t="s">
        <v>285</v>
      </c>
      <c r="D27" s="2" t="s">
        <v>208</v>
      </c>
      <c r="E27" s="51">
        <v>0.66</v>
      </c>
      <c r="F27" s="51">
        <f t="shared" si="3"/>
        <v>0</v>
      </c>
      <c r="G27" s="59">
        <f t="shared" si="4"/>
        <v>1348</v>
      </c>
      <c r="H27" s="81">
        <v>0</v>
      </c>
      <c r="I27" s="85">
        <f t="shared" si="0"/>
        <v>4000</v>
      </c>
      <c r="J27" s="3">
        <f t="shared" si="1"/>
        <v>5.3040000000000003</v>
      </c>
      <c r="K27" s="3">
        <f>+IF(B27&lt;&gt;"CH",IFERROR(VLOOKUP(A27,'Stock Loeke'!A:G,7,),),)+IF(B27="CH",IFERROR(VLOOKUP(A27,'Stock Chef'!A:J,10,),0),0)</f>
        <v>-228</v>
      </c>
      <c r="L27" s="24">
        <v>2880</v>
      </c>
      <c r="M27" s="3">
        <f t="shared" si="2"/>
        <v>2652</v>
      </c>
      <c r="N27" s="3">
        <v>500</v>
      </c>
      <c r="O27" s="3">
        <v>12</v>
      </c>
      <c r="P27" s="3">
        <v>288</v>
      </c>
      <c r="Q27" s="59">
        <v>276</v>
      </c>
      <c r="R27" s="11" t="str">
        <f>IFERROR(+VLOOKUP(A27,Quiebres!A:Q,17,0),"")</f>
        <v/>
      </c>
      <c r="S27" s="62" t="s">
        <v>91</v>
      </c>
    </row>
    <row r="28" spans="1:19" ht="18" x14ac:dyDescent="0.3">
      <c r="A28" s="11" t="s">
        <v>113</v>
      </c>
      <c r="B28" s="2" t="s">
        <v>279</v>
      </c>
      <c r="C28" s="4" t="s">
        <v>285</v>
      </c>
      <c r="D28" s="2" t="s">
        <v>230</v>
      </c>
      <c r="E28" s="51">
        <v>0.39</v>
      </c>
      <c r="F28" s="51">
        <f t="shared" si="3"/>
        <v>0</v>
      </c>
      <c r="G28" s="59">
        <f t="shared" si="4"/>
        <v>0</v>
      </c>
      <c r="H28" s="81">
        <v>0</v>
      </c>
      <c r="I28" s="85">
        <f t="shared" si="0"/>
        <v>2880</v>
      </c>
      <c r="J28" s="3">
        <f t="shared" si="1"/>
        <v>8.5666666666666664</v>
      </c>
      <c r="K28" s="3">
        <f>+IF(B28&lt;&gt;"CH",IFERROR(VLOOKUP(A28,'Stock Loeke'!A:G,7,),),)+IF(B28="CH",IFERROR(VLOOKUP(A28,'Stock Chef'!A:J,10,),0),0)</f>
        <v>348</v>
      </c>
      <c r="L28" s="24">
        <v>2736</v>
      </c>
      <c r="M28" s="3">
        <f t="shared" si="2"/>
        <v>3084</v>
      </c>
      <c r="N28" s="3">
        <v>360</v>
      </c>
      <c r="O28" s="3">
        <v>936</v>
      </c>
      <c r="P28" s="3">
        <v>348</v>
      </c>
      <c r="Q28" s="59">
        <v>204</v>
      </c>
      <c r="R28" s="11" t="str">
        <f>IFERROR(+VLOOKUP(A28,Quiebres!A:Q,17,0),"")</f>
        <v/>
      </c>
      <c r="S28" s="62" t="s">
        <v>113</v>
      </c>
    </row>
    <row r="29" spans="1:19" ht="18" x14ac:dyDescent="0.3">
      <c r="A29" s="11" t="s">
        <v>104</v>
      </c>
      <c r="B29" s="2" t="s">
        <v>279</v>
      </c>
      <c r="C29" s="4" t="s">
        <v>286</v>
      </c>
      <c r="D29" s="2" t="s">
        <v>221</v>
      </c>
      <c r="E29" s="51">
        <v>0.49</v>
      </c>
      <c r="F29" s="51">
        <f t="shared" si="3"/>
        <v>0</v>
      </c>
      <c r="G29" s="59">
        <f t="shared" si="4"/>
        <v>0</v>
      </c>
      <c r="H29" s="81">
        <v>0</v>
      </c>
      <c r="I29" s="85">
        <f t="shared" si="0"/>
        <v>3360</v>
      </c>
      <c r="J29" s="3">
        <f t="shared" si="1"/>
        <v>8.6285714285714281</v>
      </c>
      <c r="K29" s="3">
        <f>+IF(B29&lt;&gt;"CH",IFERROR(VLOOKUP(A29,'Stock Loeke'!A:G,7,),),)+IF(B29="CH",IFERROR(VLOOKUP(A29,'Stock Chef'!A:J,10,),0),0)</f>
        <v>888</v>
      </c>
      <c r="L29" s="24">
        <v>2736</v>
      </c>
      <c r="M29" s="3">
        <f t="shared" si="2"/>
        <v>3624</v>
      </c>
      <c r="N29" s="3">
        <v>420</v>
      </c>
      <c r="O29" s="3">
        <v>540</v>
      </c>
      <c r="P29" s="3">
        <v>456</v>
      </c>
      <c r="Q29" s="59">
        <v>180</v>
      </c>
      <c r="R29" s="11" t="str">
        <f>IFERROR(+VLOOKUP(A29,Quiebres!A:Q,17,0),"")</f>
        <v/>
      </c>
      <c r="S29" s="62" t="s">
        <v>104</v>
      </c>
    </row>
    <row r="30" spans="1:19" ht="18" x14ac:dyDescent="0.3">
      <c r="A30" s="11" t="s">
        <v>97</v>
      </c>
      <c r="B30" s="2" t="s">
        <v>279</v>
      </c>
      <c r="C30" s="4" t="s">
        <v>285</v>
      </c>
      <c r="D30" s="2" t="s">
        <v>214</v>
      </c>
      <c r="E30" s="51">
        <v>0.66</v>
      </c>
      <c r="F30" s="51">
        <f t="shared" si="3"/>
        <v>0</v>
      </c>
      <c r="G30" s="59">
        <f t="shared" si="4"/>
        <v>1596</v>
      </c>
      <c r="H30" s="81">
        <v>0</v>
      </c>
      <c r="I30" s="85">
        <f t="shared" si="0"/>
        <v>2880</v>
      </c>
      <c r="J30" s="3">
        <f t="shared" si="1"/>
        <v>3.5666666666666669</v>
      </c>
      <c r="K30" s="3">
        <f>+IF(B30&lt;&gt;"CH",IFERROR(VLOOKUP(A30,'Stock Loeke'!A:G,7,),),)+IF(B30="CH",IFERROR(VLOOKUP(A30,'Stock Chef'!A:J,10,),0),0)</f>
        <v>-156</v>
      </c>
      <c r="L30" s="24">
        <v>1440</v>
      </c>
      <c r="M30" s="3">
        <f t="shared" si="2"/>
        <v>1284</v>
      </c>
      <c r="N30" s="3">
        <v>360</v>
      </c>
      <c r="O30" s="3">
        <v>12</v>
      </c>
      <c r="P30" s="3">
        <v>168</v>
      </c>
      <c r="Q30" s="59">
        <v>180</v>
      </c>
      <c r="R30" s="11" t="str">
        <f>IFERROR(+VLOOKUP(A30,Quiebres!A:Q,17,0),"")</f>
        <v/>
      </c>
      <c r="S30" s="62" t="s">
        <v>97</v>
      </c>
    </row>
    <row r="31" spans="1:19" ht="18" x14ac:dyDescent="0.3">
      <c r="A31" s="11" t="s">
        <v>93</v>
      </c>
      <c r="B31" s="2" t="s">
        <v>279</v>
      </c>
      <c r="C31" s="4" t="s">
        <v>285</v>
      </c>
      <c r="D31" s="2" t="s">
        <v>210</v>
      </c>
      <c r="E31" s="51">
        <v>0.66</v>
      </c>
      <c r="F31" s="51">
        <f t="shared" si="3"/>
        <v>0</v>
      </c>
      <c r="G31" s="59">
        <f t="shared" si="4"/>
        <v>916</v>
      </c>
      <c r="H31" s="81">
        <v>0</v>
      </c>
      <c r="I31" s="85">
        <f t="shared" si="0"/>
        <v>2080</v>
      </c>
      <c r="J31" s="3">
        <f t="shared" si="1"/>
        <v>4.476923076923077</v>
      </c>
      <c r="K31" s="3">
        <f>+IF(B31&lt;&gt;"CH",IFERROR(VLOOKUP(A31,'Stock Loeke'!A:G,7,),),)+IF(B31="CH",IFERROR(VLOOKUP(A31,'Stock Chef'!A:J,10,),0),0)</f>
        <v>-276</v>
      </c>
      <c r="L31" s="24">
        <v>1440</v>
      </c>
      <c r="M31" s="3">
        <f t="shared" si="2"/>
        <v>1164</v>
      </c>
      <c r="N31" s="3">
        <v>260</v>
      </c>
      <c r="O31" s="3">
        <v>0</v>
      </c>
      <c r="P31" s="3">
        <v>252</v>
      </c>
      <c r="Q31" s="59">
        <v>264</v>
      </c>
      <c r="R31" s="11" t="str">
        <f>IFERROR(+VLOOKUP(A31,Quiebres!A:Q,17,0),"")</f>
        <v/>
      </c>
      <c r="S31" s="62" t="s">
        <v>93</v>
      </c>
    </row>
    <row r="32" spans="1:19" ht="18" x14ac:dyDescent="0.3">
      <c r="A32" s="11" t="s">
        <v>83</v>
      </c>
      <c r="B32" s="2" t="s">
        <v>279</v>
      </c>
      <c r="C32" s="4" t="s">
        <v>286</v>
      </c>
      <c r="D32" s="2" t="s">
        <v>200</v>
      </c>
      <c r="E32" s="51">
        <v>0.53</v>
      </c>
      <c r="F32" s="51">
        <f t="shared" si="3"/>
        <v>0</v>
      </c>
      <c r="G32" s="59">
        <f t="shared" si="4"/>
        <v>0</v>
      </c>
      <c r="H32" s="81">
        <v>0</v>
      </c>
      <c r="I32" s="85">
        <f t="shared" si="0"/>
        <v>2560</v>
      </c>
      <c r="J32" s="3">
        <f t="shared" si="1"/>
        <v>9</v>
      </c>
      <c r="K32" s="3">
        <f>+IF(B32&lt;&gt;"CH",IFERROR(VLOOKUP(A32,'Stock Loeke'!A:G,7,),),)+IF(B32="CH",IFERROR(VLOOKUP(A32,'Stock Chef'!A:J,10,),0),0)</f>
        <v>0</v>
      </c>
      <c r="L32" s="24">
        <v>2880</v>
      </c>
      <c r="M32" s="3">
        <f t="shared" si="2"/>
        <v>2880</v>
      </c>
      <c r="N32" s="3">
        <v>320</v>
      </c>
      <c r="O32" s="3">
        <v>312</v>
      </c>
      <c r="P32" s="3">
        <v>156</v>
      </c>
      <c r="Q32" s="59">
        <v>264</v>
      </c>
      <c r="R32" s="11" t="str">
        <f>IFERROR(+VLOOKUP(A32,Quiebres!A:Q,17,0),"")</f>
        <v/>
      </c>
      <c r="S32" s="62" t="s">
        <v>83</v>
      </c>
    </row>
    <row r="33" spans="1:19" ht="18" x14ac:dyDescent="0.3">
      <c r="A33" s="11" t="s">
        <v>109</v>
      </c>
      <c r="B33" s="2" t="s">
        <v>279</v>
      </c>
      <c r="C33" s="4" t="s">
        <v>285</v>
      </c>
      <c r="D33" s="2" t="s">
        <v>226</v>
      </c>
      <c r="E33" s="51">
        <v>0.35</v>
      </c>
      <c r="F33" s="51">
        <f t="shared" si="3"/>
        <v>0</v>
      </c>
      <c r="G33" s="59">
        <f t="shared" ref="G33:G60" si="15">IF((+I33-M33)&lt;0,0,+I33-M33)</f>
        <v>0</v>
      </c>
      <c r="H33" s="81">
        <v>0</v>
      </c>
      <c r="I33" s="85">
        <f t="shared" ref="I33:I63" si="16">+$I$3*N33</f>
        <v>4800</v>
      </c>
      <c r="J33" s="3">
        <f t="shared" si="1"/>
        <v>9.0399999999999991</v>
      </c>
      <c r="K33" s="3">
        <f>+IF(B33&lt;&gt;"CH",IFERROR(VLOOKUP(A33,'Stock Loeke'!A:G,7,),),)+IF(B33="CH",IFERROR(VLOOKUP(A33,'Stock Chef'!A:J,10,),0),0)</f>
        <v>3552</v>
      </c>
      <c r="L33" s="24">
        <v>1872</v>
      </c>
      <c r="M33" s="3">
        <f t="shared" ref="M33:M60" si="17">+K33+L33</f>
        <v>5424</v>
      </c>
      <c r="N33" s="3">
        <v>600</v>
      </c>
      <c r="O33" s="3">
        <v>444</v>
      </c>
      <c r="P33" s="3">
        <v>504</v>
      </c>
      <c r="Q33" s="59">
        <v>636</v>
      </c>
      <c r="R33" s="11" t="str">
        <f>IFERROR(+VLOOKUP(A33,Quiebres!A:Q,17,0),"")</f>
        <v/>
      </c>
      <c r="S33" s="62" t="s">
        <v>109</v>
      </c>
    </row>
    <row r="34" spans="1:19" ht="18" x14ac:dyDescent="0.3">
      <c r="A34" s="11" t="s">
        <v>81</v>
      </c>
      <c r="B34" s="2" t="s">
        <v>279</v>
      </c>
      <c r="C34" s="4" t="s">
        <v>286</v>
      </c>
      <c r="D34" s="2" t="s">
        <v>198</v>
      </c>
      <c r="E34" s="51">
        <v>0.53</v>
      </c>
      <c r="F34" s="51">
        <f t="shared" si="3"/>
        <v>0</v>
      </c>
      <c r="G34" s="59">
        <f t="shared" si="15"/>
        <v>0</v>
      </c>
      <c r="H34" s="81">
        <v>0</v>
      </c>
      <c r="I34" s="85">
        <f t="shared" si="16"/>
        <v>2112</v>
      </c>
      <c r="J34" s="3">
        <f t="shared" si="1"/>
        <v>9.5</v>
      </c>
      <c r="K34" s="3">
        <f>+IF(B34&lt;&gt;"CH",IFERROR(VLOOKUP(A34,'Stock Loeke'!A:G,7,),),)+IF(B34="CH",IFERROR(VLOOKUP(A34,'Stock Chef'!A:J,10,),0),0)</f>
        <v>780</v>
      </c>
      <c r="L34" s="24">
        <v>1728</v>
      </c>
      <c r="M34" s="3">
        <f t="shared" si="17"/>
        <v>2508</v>
      </c>
      <c r="N34" s="3">
        <v>264</v>
      </c>
      <c r="O34" s="3">
        <v>324</v>
      </c>
      <c r="P34" s="3">
        <v>144</v>
      </c>
      <c r="Q34" s="59">
        <v>264</v>
      </c>
      <c r="R34" s="11" t="str">
        <f>IFERROR(+VLOOKUP(A34,Quiebres!A:Q,17,0),"")</f>
        <v/>
      </c>
      <c r="S34" s="62" t="s">
        <v>81</v>
      </c>
    </row>
    <row r="35" spans="1:19" ht="18" x14ac:dyDescent="0.3">
      <c r="A35" s="11" t="s">
        <v>106</v>
      </c>
      <c r="B35" s="2" t="s">
        <v>279</v>
      </c>
      <c r="C35" s="4" t="s">
        <v>286</v>
      </c>
      <c r="D35" s="2" t="s">
        <v>223</v>
      </c>
      <c r="E35" s="51">
        <v>0.31</v>
      </c>
      <c r="F35" s="51">
        <f t="shared" si="3"/>
        <v>0</v>
      </c>
      <c r="G35" s="59">
        <f t="shared" si="15"/>
        <v>0</v>
      </c>
      <c r="H35" s="81">
        <v>0</v>
      </c>
      <c r="I35" s="85">
        <f t="shared" si="16"/>
        <v>4000</v>
      </c>
      <c r="J35" s="3">
        <f t="shared" si="1"/>
        <v>9.3360000000000003</v>
      </c>
      <c r="K35" s="3">
        <f>+IF(B35&lt;&gt;"CH",IFERROR(VLOOKUP(A35,'Stock Loeke'!A:G,7,),),)+IF(B35="CH",IFERROR(VLOOKUP(A35,'Stock Chef'!A:J,10,),0),0)</f>
        <v>-84</v>
      </c>
      <c r="L35" s="24">
        <v>4752</v>
      </c>
      <c r="M35" s="3">
        <f t="shared" si="17"/>
        <v>4668</v>
      </c>
      <c r="N35" s="3">
        <v>500</v>
      </c>
      <c r="O35" s="3">
        <v>504</v>
      </c>
      <c r="P35" s="3">
        <v>492</v>
      </c>
      <c r="Q35" s="59">
        <v>72</v>
      </c>
      <c r="R35" s="11" t="str">
        <f>IFERROR(+VLOOKUP(A35,Quiebres!A:Q,17,0),"")</f>
        <v/>
      </c>
      <c r="S35" s="62" t="s">
        <v>106</v>
      </c>
    </row>
    <row r="36" spans="1:19" ht="18" x14ac:dyDescent="0.3">
      <c r="A36" s="11" t="s">
        <v>119</v>
      </c>
      <c r="B36" s="2" t="s">
        <v>279</v>
      </c>
      <c r="C36" s="4" t="s">
        <v>285</v>
      </c>
      <c r="D36" s="2" t="s">
        <v>236</v>
      </c>
      <c r="E36" s="51">
        <v>1.1299999999999999</v>
      </c>
      <c r="F36" s="51">
        <f t="shared" si="3"/>
        <v>0</v>
      </c>
      <c r="G36" s="59">
        <f t="shared" si="15"/>
        <v>0</v>
      </c>
      <c r="H36" s="81">
        <v>0</v>
      </c>
      <c r="I36" s="85">
        <f t="shared" si="16"/>
        <v>1440</v>
      </c>
      <c r="J36" s="3">
        <f t="shared" si="1"/>
        <v>9.5333333333333332</v>
      </c>
      <c r="K36" s="3">
        <f>+IF(B36&lt;&gt;"CH",IFERROR(VLOOKUP(A36,'Stock Loeke'!A:G,7,),),)+IF(B36="CH",IFERROR(VLOOKUP(A36,'Stock Chef'!A:J,10,),0),0)</f>
        <v>708</v>
      </c>
      <c r="L36" s="24">
        <v>1008</v>
      </c>
      <c r="M36" s="3">
        <f t="shared" si="17"/>
        <v>1716</v>
      </c>
      <c r="N36" s="3">
        <v>180</v>
      </c>
      <c r="O36" s="3">
        <v>24</v>
      </c>
      <c r="P36" s="3">
        <v>180</v>
      </c>
      <c r="Q36" s="59">
        <v>216</v>
      </c>
      <c r="R36" s="11" t="str">
        <f>IFERROR(+VLOOKUP(A36,Quiebres!A:Q,17,0),"")</f>
        <v/>
      </c>
      <c r="S36" s="62" t="s">
        <v>119</v>
      </c>
    </row>
    <row r="37" spans="1:19" ht="18" x14ac:dyDescent="0.3">
      <c r="A37" s="11" t="s">
        <v>86</v>
      </c>
      <c r="B37" s="2" t="s">
        <v>279</v>
      </c>
      <c r="C37" s="4" t="s">
        <v>286</v>
      </c>
      <c r="D37" s="2" t="s">
        <v>203</v>
      </c>
      <c r="E37" s="51">
        <v>0.49</v>
      </c>
      <c r="F37" s="51">
        <f t="shared" si="3"/>
        <v>0</v>
      </c>
      <c r="G37" s="59">
        <f t="shared" si="15"/>
        <v>0</v>
      </c>
      <c r="H37" s="81">
        <v>0</v>
      </c>
      <c r="I37" s="85">
        <f t="shared" si="16"/>
        <v>2240</v>
      </c>
      <c r="J37" s="3">
        <f t="shared" si="1"/>
        <v>9.9857142857142858</v>
      </c>
      <c r="K37" s="3">
        <f>+IF(B37&lt;&gt;"CH",IFERROR(VLOOKUP(A37,'Stock Loeke'!A:G,7,),),)+IF(B37="CH",IFERROR(VLOOKUP(A37,'Stock Chef'!A:J,10,),0),0)</f>
        <v>1068</v>
      </c>
      <c r="L37" s="24">
        <v>1728</v>
      </c>
      <c r="M37" s="3">
        <f t="shared" si="17"/>
        <v>2796</v>
      </c>
      <c r="N37" s="3">
        <v>280</v>
      </c>
      <c r="O37" s="3">
        <v>396</v>
      </c>
      <c r="P37" s="3">
        <v>168</v>
      </c>
      <c r="Q37" s="59">
        <v>204</v>
      </c>
      <c r="R37" s="11" t="str">
        <f>IFERROR(+VLOOKUP(A37,Quiebres!A:Q,17,0),"")</f>
        <v/>
      </c>
      <c r="S37" s="62" t="s">
        <v>86</v>
      </c>
    </row>
    <row r="38" spans="1:19" ht="18" x14ac:dyDescent="0.3">
      <c r="A38" s="31" t="s">
        <v>80</v>
      </c>
      <c r="B38" s="32" t="s">
        <v>279</v>
      </c>
      <c r="C38" s="33" t="s">
        <v>286</v>
      </c>
      <c r="D38" s="32" t="s">
        <v>197</v>
      </c>
      <c r="E38" s="72">
        <v>0.53</v>
      </c>
      <c r="F38" s="72">
        <f t="shared" si="3"/>
        <v>0</v>
      </c>
      <c r="G38" s="60">
        <f t="shared" si="15"/>
        <v>0</v>
      </c>
      <c r="H38" s="81">
        <v>0</v>
      </c>
      <c r="I38" s="86">
        <f t="shared" si="16"/>
        <v>2400</v>
      </c>
      <c r="J38" s="3">
        <f t="shared" si="1"/>
        <v>10.28</v>
      </c>
      <c r="K38" s="3">
        <f>+IF(B38&lt;&gt;"CH",IFERROR(VLOOKUP(A38,'Stock Loeke'!A:G,7,),),)+IF(B38="CH",IFERROR(VLOOKUP(A38,'Stock Chef'!A:J,10,),0),0)</f>
        <v>492</v>
      </c>
      <c r="L38" s="35">
        <v>2592</v>
      </c>
      <c r="M38" s="34">
        <f t="shared" si="17"/>
        <v>3084</v>
      </c>
      <c r="N38" s="34">
        <v>300</v>
      </c>
      <c r="O38" s="34">
        <v>300</v>
      </c>
      <c r="P38" s="34">
        <v>144</v>
      </c>
      <c r="Q38" s="60">
        <v>300</v>
      </c>
      <c r="R38" s="31" t="str">
        <f>IFERROR(+VLOOKUP(A38,Quiebres!A:Q,17,0),"")</f>
        <v/>
      </c>
      <c r="S38" s="73" t="s">
        <v>80</v>
      </c>
    </row>
    <row r="39" spans="1:19" ht="18" x14ac:dyDescent="0.3">
      <c r="A39" s="11" t="s">
        <v>120</v>
      </c>
      <c r="B39" s="2" t="s">
        <v>279</v>
      </c>
      <c r="C39" s="4" t="s">
        <v>289</v>
      </c>
      <c r="D39" s="2" t="s">
        <v>237</v>
      </c>
      <c r="E39" s="51">
        <v>1.2</v>
      </c>
      <c r="F39" s="51">
        <f t="shared" si="3"/>
        <v>0</v>
      </c>
      <c r="G39" s="59">
        <f t="shared" si="15"/>
        <v>0</v>
      </c>
      <c r="H39" s="81">
        <v>0</v>
      </c>
      <c r="I39" s="85">
        <f t="shared" si="16"/>
        <v>672</v>
      </c>
      <c r="J39" s="3">
        <f t="shared" si="1"/>
        <v>10.285714285714286</v>
      </c>
      <c r="K39" s="3">
        <f>+IF(B39&lt;&gt;"CH",IFERROR(VLOOKUP(A39,'Stock Loeke'!A:G,7,),),)+IF(B39="CH",IFERROR(VLOOKUP(A39,'Stock Chef'!A:J,10,),0),0)</f>
        <v>864</v>
      </c>
      <c r="L39" s="3">
        <v>0</v>
      </c>
      <c r="M39" s="3">
        <f t="shared" si="17"/>
        <v>864</v>
      </c>
      <c r="N39" s="3">
        <v>84</v>
      </c>
      <c r="O39" s="3">
        <v>12</v>
      </c>
      <c r="P39" s="3">
        <v>48</v>
      </c>
      <c r="Q39" s="59">
        <v>84</v>
      </c>
      <c r="R39" s="11" t="str">
        <f>IFERROR(+VLOOKUP(A39,Quiebres!A:Q,17,0),"")</f>
        <v/>
      </c>
      <c r="S39" s="62" t="s">
        <v>120</v>
      </c>
    </row>
    <row r="40" spans="1:19" ht="18" x14ac:dyDescent="0.3">
      <c r="A40" s="11" t="s">
        <v>107</v>
      </c>
      <c r="B40" s="2" t="s">
        <v>279</v>
      </c>
      <c r="C40" s="4" t="s">
        <v>286</v>
      </c>
      <c r="D40" s="2" t="s">
        <v>224</v>
      </c>
      <c r="E40" s="51">
        <v>0.42</v>
      </c>
      <c r="F40" s="51">
        <f t="shared" si="3"/>
        <v>0</v>
      </c>
      <c r="G40" s="59">
        <f t="shared" si="15"/>
        <v>0</v>
      </c>
      <c r="H40" s="81">
        <v>0</v>
      </c>
      <c r="I40" s="85">
        <f t="shared" si="16"/>
        <v>2400</v>
      </c>
      <c r="J40" s="3">
        <f t="shared" si="1"/>
        <v>10.44</v>
      </c>
      <c r="K40" s="3">
        <f>+IF(B40&lt;&gt;"CH",IFERROR(VLOOKUP(A40,'Stock Loeke'!A:G,7,),),)+IF(B40="CH",IFERROR(VLOOKUP(A40,'Stock Chef'!A:J,10,),0),0)</f>
        <v>252</v>
      </c>
      <c r="L40" s="24">
        <v>2880</v>
      </c>
      <c r="M40" s="3">
        <f t="shared" si="17"/>
        <v>3132</v>
      </c>
      <c r="N40" s="3">
        <v>300</v>
      </c>
      <c r="O40" s="3">
        <v>300</v>
      </c>
      <c r="P40" s="3">
        <v>276</v>
      </c>
      <c r="Q40" s="59">
        <v>36</v>
      </c>
      <c r="R40" s="11" t="str">
        <f>IFERROR(+VLOOKUP(A40,Quiebres!A:Q,17,0),"")</f>
        <v/>
      </c>
      <c r="S40" s="62" t="s">
        <v>107</v>
      </c>
    </row>
    <row r="41" spans="1:19" ht="18" x14ac:dyDescent="0.3">
      <c r="A41" s="11" t="s">
        <v>84</v>
      </c>
      <c r="B41" s="2" t="s">
        <v>279</v>
      </c>
      <c r="C41" s="4" t="s">
        <v>286</v>
      </c>
      <c r="D41" s="2" t="s">
        <v>201</v>
      </c>
      <c r="E41" s="51">
        <v>0.53</v>
      </c>
      <c r="F41" s="51">
        <f t="shared" si="3"/>
        <v>0</v>
      </c>
      <c r="G41" s="59">
        <f t="shared" si="15"/>
        <v>0</v>
      </c>
      <c r="H41" s="81">
        <v>0</v>
      </c>
      <c r="I41" s="85">
        <f t="shared" si="16"/>
        <v>2880</v>
      </c>
      <c r="J41" s="3">
        <f t="shared" si="1"/>
        <v>11</v>
      </c>
      <c r="K41" s="3">
        <f>+IF(B41&lt;&gt;"CH",IFERROR(VLOOKUP(A41,'Stock Loeke'!A:G,7,),),)+IF(B41="CH",IFERROR(VLOOKUP(A41,'Stock Chef'!A:J,10,),0),0)</f>
        <v>2376</v>
      </c>
      <c r="L41" s="24">
        <v>1584</v>
      </c>
      <c r="M41" s="3">
        <f t="shared" si="17"/>
        <v>3960</v>
      </c>
      <c r="N41" s="3">
        <v>360</v>
      </c>
      <c r="O41" s="3">
        <v>180</v>
      </c>
      <c r="P41" s="3">
        <v>156</v>
      </c>
      <c r="Q41" s="59">
        <v>432</v>
      </c>
      <c r="R41" s="11" t="str">
        <f>IFERROR(+VLOOKUP(A41,Quiebres!A:Q,17,0),"")</f>
        <v/>
      </c>
      <c r="S41" s="62" t="s">
        <v>84</v>
      </c>
    </row>
    <row r="42" spans="1:19" ht="18" x14ac:dyDescent="0.3">
      <c r="A42" s="31" t="s">
        <v>82</v>
      </c>
      <c r="B42" s="32" t="s">
        <v>279</v>
      </c>
      <c r="C42" s="33" t="s">
        <v>286</v>
      </c>
      <c r="D42" s="32" t="s">
        <v>199</v>
      </c>
      <c r="E42" s="72">
        <v>0.53</v>
      </c>
      <c r="F42" s="72">
        <f t="shared" si="3"/>
        <v>0</v>
      </c>
      <c r="G42" s="60">
        <f t="shared" si="15"/>
        <v>0</v>
      </c>
      <c r="H42" s="81">
        <v>0</v>
      </c>
      <c r="I42" s="86">
        <f t="shared" si="16"/>
        <v>1824</v>
      </c>
      <c r="J42" s="3">
        <f t="shared" si="1"/>
        <v>11</v>
      </c>
      <c r="K42" s="3">
        <f>+IF(B42&lt;&gt;"CH",IFERROR(VLOOKUP(A42,'Stock Loeke'!A:G,7,),),)+IF(B42="CH",IFERROR(VLOOKUP(A42,'Stock Chef'!A:J,10,),0),0)</f>
        <v>1788</v>
      </c>
      <c r="L42" s="35">
        <v>720</v>
      </c>
      <c r="M42" s="34">
        <f t="shared" si="17"/>
        <v>2508</v>
      </c>
      <c r="N42" s="34">
        <v>228</v>
      </c>
      <c r="O42" s="34">
        <v>228</v>
      </c>
      <c r="P42" s="34">
        <v>180</v>
      </c>
      <c r="Q42" s="60">
        <v>84</v>
      </c>
      <c r="R42" s="31" t="str">
        <f>IFERROR(+VLOOKUP(A42,Quiebres!A:Q,17,0),"")</f>
        <v/>
      </c>
      <c r="S42" s="73" t="s">
        <v>82</v>
      </c>
    </row>
    <row r="43" spans="1:19" ht="18" x14ac:dyDescent="0.3">
      <c r="A43" s="11" t="s">
        <v>32</v>
      </c>
      <c r="B43" s="2" t="s">
        <v>279</v>
      </c>
      <c r="C43" s="4" t="s">
        <v>283</v>
      </c>
      <c r="D43" s="2" t="s">
        <v>149</v>
      </c>
      <c r="E43" s="51">
        <v>5.2</v>
      </c>
      <c r="F43" s="51">
        <f t="shared" si="3"/>
        <v>0</v>
      </c>
      <c r="G43" s="59">
        <f t="shared" si="15"/>
        <v>0</v>
      </c>
      <c r="H43" s="81">
        <v>0</v>
      </c>
      <c r="I43" s="85">
        <f t="shared" si="16"/>
        <v>2272</v>
      </c>
      <c r="J43" s="3">
        <f t="shared" si="1"/>
        <v>11.535211267605634</v>
      </c>
      <c r="K43" s="3">
        <f>+IF(B43&lt;&gt;"CH",IFERROR(VLOOKUP(A43,'Stock Loeke'!A:G,7,),),)+IF(B43="CH",IFERROR(VLOOKUP(A43,'Stock Chef'!A:J,10,),0),0)</f>
        <v>1452</v>
      </c>
      <c r="L43" s="24">
        <f>928+896</f>
        <v>1824</v>
      </c>
      <c r="M43" s="3">
        <f t="shared" si="17"/>
        <v>3276</v>
      </c>
      <c r="N43" s="3">
        <v>284</v>
      </c>
      <c r="O43" s="3">
        <v>184</v>
      </c>
      <c r="P43" s="3">
        <v>200</v>
      </c>
      <c r="Q43" s="59">
        <v>284</v>
      </c>
      <c r="R43" s="11" t="str">
        <f>IFERROR(+VLOOKUP(A43,Quiebres!A:Q,17,0),"")</f>
        <v/>
      </c>
      <c r="S43" s="62" t="s">
        <v>32</v>
      </c>
    </row>
    <row r="44" spans="1:19" ht="18" x14ac:dyDescent="0.3">
      <c r="A44" s="11" t="s">
        <v>111</v>
      </c>
      <c r="B44" s="2" t="s">
        <v>279</v>
      </c>
      <c r="C44" s="4" t="s">
        <v>285</v>
      </c>
      <c r="D44" s="2" t="s">
        <v>228</v>
      </c>
      <c r="E44" s="51">
        <v>0.53</v>
      </c>
      <c r="F44" s="51">
        <f t="shared" si="3"/>
        <v>0</v>
      </c>
      <c r="G44" s="59">
        <f t="shared" si="15"/>
        <v>0</v>
      </c>
      <c r="H44" s="81">
        <v>0</v>
      </c>
      <c r="I44" s="85">
        <f t="shared" si="16"/>
        <v>1152</v>
      </c>
      <c r="J44" s="3">
        <f t="shared" si="1"/>
        <v>11.416666666666666</v>
      </c>
      <c r="K44" s="3">
        <f>+IF(B44&lt;&gt;"CH",IFERROR(VLOOKUP(A44,'Stock Loeke'!A:G,7,),),)+IF(B44="CH",IFERROR(VLOOKUP(A44,'Stock Chef'!A:J,10,),0),0)</f>
        <v>636</v>
      </c>
      <c r="L44" s="24">
        <v>1008</v>
      </c>
      <c r="M44" s="3">
        <f t="shared" si="17"/>
        <v>1644</v>
      </c>
      <c r="N44" s="3">
        <v>144</v>
      </c>
      <c r="O44" s="3">
        <v>900</v>
      </c>
      <c r="P44" s="3">
        <v>144</v>
      </c>
      <c r="Q44" s="59">
        <v>132</v>
      </c>
      <c r="R44" s="11" t="str">
        <f>IFERROR(+VLOOKUP(A44,Quiebres!A:Q,17,0),"")</f>
        <v/>
      </c>
      <c r="S44" s="62" t="s">
        <v>111</v>
      </c>
    </row>
    <row r="45" spans="1:19" ht="18" x14ac:dyDescent="0.3">
      <c r="A45" s="11" t="s">
        <v>118</v>
      </c>
      <c r="B45" s="2" t="s">
        <v>279</v>
      </c>
      <c r="C45" s="4" t="s">
        <v>289</v>
      </c>
      <c r="D45" s="2" t="s">
        <v>235</v>
      </c>
      <c r="E45" s="51">
        <v>1.35</v>
      </c>
      <c r="F45" s="51">
        <f t="shared" si="3"/>
        <v>0</v>
      </c>
      <c r="G45" s="59">
        <f t="shared" si="15"/>
        <v>0</v>
      </c>
      <c r="H45" s="81">
        <v>0</v>
      </c>
      <c r="I45" s="85">
        <f t="shared" si="16"/>
        <v>480</v>
      </c>
      <c r="J45" s="3">
        <f t="shared" si="1"/>
        <v>12</v>
      </c>
      <c r="K45" s="3">
        <f>+IF(B45&lt;&gt;"CH",IFERROR(VLOOKUP(A45,'Stock Loeke'!A:G,7,),),)+IF(B45="CH",IFERROR(VLOOKUP(A45,'Stock Chef'!A:J,10,),0),0)</f>
        <v>720</v>
      </c>
      <c r="L45" s="3">
        <v>0</v>
      </c>
      <c r="M45" s="3">
        <f t="shared" si="17"/>
        <v>720</v>
      </c>
      <c r="N45" s="3">
        <v>60</v>
      </c>
      <c r="O45" s="3">
        <v>12</v>
      </c>
      <c r="P45" s="3">
        <v>60</v>
      </c>
      <c r="Q45" s="59">
        <v>48</v>
      </c>
      <c r="R45" s="11" t="str">
        <f>IFERROR(+VLOOKUP(A45,Quiebres!A:Q,17,0),"")</f>
        <v/>
      </c>
      <c r="S45" s="62" t="s">
        <v>118</v>
      </c>
    </row>
    <row r="46" spans="1:19" ht="18" x14ac:dyDescent="0.3">
      <c r="A46" s="11" t="s">
        <v>116</v>
      </c>
      <c r="B46" s="2" t="s">
        <v>279</v>
      </c>
      <c r="C46" s="4" t="s">
        <v>285</v>
      </c>
      <c r="D46" s="2" t="s">
        <v>233</v>
      </c>
      <c r="E46" s="51">
        <v>0.98</v>
      </c>
      <c r="F46" s="51">
        <f t="shared" si="3"/>
        <v>0</v>
      </c>
      <c r="G46" s="59">
        <f t="shared" si="15"/>
        <v>0</v>
      </c>
      <c r="H46" s="81">
        <v>0</v>
      </c>
      <c r="I46" s="85">
        <f t="shared" si="16"/>
        <v>1920</v>
      </c>
      <c r="J46" s="3">
        <f t="shared" si="1"/>
        <v>12.8</v>
      </c>
      <c r="K46" s="3">
        <f>+IF(B46&lt;&gt;"CH",IFERROR(VLOOKUP(A46,'Stock Loeke'!A:G,7,),),)+IF(B46="CH",IFERROR(VLOOKUP(A46,'Stock Chef'!A:J,10,),0),0)</f>
        <v>624</v>
      </c>
      <c r="L46" s="24">
        <v>2448</v>
      </c>
      <c r="M46" s="3">
        <f t="shared" si="17"/>
        <v>3072</v>
      </c>
      <c r="N46" s="3">
        <v>240</v>
      </c>
      <c r="O46" s="3">
        <v>24</v>
      </c>
      <c r="P46" s="3">
        <v>228</v>
      </c>
      <c r="Q46" s="59">
        <v>252</v>
      </c>
      <c r="R46" s="11" t="str">
        <f>IFERROR(+VLOOKUP(A46,Quiebres!A:Q,17,0),"")</f>
        <v/>
      </c>
      <c r="S46" s="62" t="s">
        <v>116</v>
      </c>
    </row>
    <row r="47" spans="1:19" ht="18" x14ac:dyDescent="0.3">
      <c r="A47" s="11" t="s">
        <v>103</v>
      </c>
      <c r="B47" s="2" t="s">
        <v>279</v>
      </c>
      <c r="C47" s="4" t="s">
        <v>286</v>
      </c>
      <c r="D47" s="2" t="s">
        <v>220</v>
      </c>
      <c r="E47" s="51">
        <v>0.49</v>
      </c>
      <c r="F47" s="51">
        <f t="shared" si="3"/>
        <v>0</v>
      </c>
      <c r="G47" s="59">
        <f t="shared" si="15"/>
        <v>0</v>
      </c>
      <c r="H47" s="81">
        <v>0</v>
      </c>
      <c r="I47" s="85">
        <f t="shared" si="16"/>
        <v>1600</v>
      </c>
      <c r="J47" s="3">
        <f t="shared" si="1"/>
        <v>13.74</v>
      </c>
      <c r="K47" s="3">
        <f>+IF(B47&lt;&gt;"CH",IFERROR(VLOOKUP(A47,'Stock Loeke'!A:G,7,),),)+IF(B47="CH",IFERROR(VLOOKUP(A47,'Stock Chef'!A:J,10,),0),0)</f>
        <v>732</v>
      </c>
      <c r="L47" s="24">
        <v>2016</v>
      </c>
      <c r="M47" s="3">
        <f t="shared" si="17"/>
        <v>2748</v>
      </c>
      <c r="N47" s="3">
        <v>200</v>
      </c>
      <c r="O47" s="3">
        <v>0</v>
      </c>
      <c r="P47" s="3">
        <v>204</v>
      </c>
      <c r="Q47" s="59">
        <v>48</v>
      </c>
      <c r="R47" s="11" t="str">
        <f>IFERROR(+VLOOKUP(A47,Quiebres!A:Q,17,0),"")</f>
        <v/>
      </c>
      <c r="S47" s="62" t="s">
        <v>103</v>
      </c>
    </row>
    <row r="48" spans="1:19" ht="18" x14ac:dyDescent="0.3">
      <c r="A48" s="11" t="s">
        <v>115</v>
      </c>
      <c r="B48" s="2" t="s">
        <v>279</v>
      </c>
      <c r="C48" s="4" t="s">
        <v>285</v>
      </c>
      <c r="D48" s="2" t="s">
        <v>232</v>
      </c>
      <c r="E48" s="51">
        <v>1.3</v>
      </c>
      <c r="F48" s="51">
        <f t="shared" si="3"/>
        <v>0</v>
      </c>
      <c r="G48" s="59">
        <f t="shared" si="15"/>
        <v>0</v>
      </c>
      <c r="H48" s="81">
        <v>0</v>
      </c>
      <c r="I48" s="85">
        <f t="shared" si="16"/>
        <v>576</v>
      </c>
      <c r="J48" s="3">
        <f t="shared" si="1"/>
        <v>23.166666666666668</v>
      </c>
      <c r="K48" s="3">
        <f>+IF(B48&lt;&gt;"CH",IFERROR(VLOOKUP(A48,'Stock Loeke'!A:G,7,),),)+IF(B48="CH",IFERROR(VLOOKUP(A48,'Stock Chef'!A:J,10,),0),0)</f>
        <v>660</v>
      </c>
      <c r="L48" s="24">
        <v>1008</v>
      </c>
      <c r="M48" s="3">
        <f t="shared" si="17"/>
        <v>1668</v>
      </c>
      <c r="N48" s="3">
        <v>72</v>
      </c>
      <c r="O48" s="3">
        <v>24</v>
      </c>
      <c r="P48" s="3">
        <v>72</v>
      </c>
      <c r="Q48" s="59">
        <v>84</v>
      </c>
      <c r="R48" s="11" t="str">
        <f>IFERROR(+VLOOKUP(A48,Quiebres!A:Q,17,0),"")</f>
        <v/>
      </c>
      <c r="S48" s="62" t="s">
        <v>115</v>
      </c>
    </row>
    <row r="49" spans="1:19" ht="18" x14ac:dyDescent="0.3">
      <c r="A49" s="11" t="s">
        <v>117</v>
      </c>
      <c r="B49" s="2" t="s">
        <v>279</v>
      </c>
      <c r="C49" s="4" t="s">
        <v>285</v>
      </c>
      <c r="D49" s="2" t="s">
        <v>234</v>
      </c>
      <c r="E49" s="51">
        <v>1.98</v>
      </c>
      <c r="F49" s="51">
        <f t="shared" si="3"/>
        <v>0</v>
      </c>
      <c r="G49" s="59">
        <f t="shared" si="15"/>
        <v>0</v>
      </c>
      <c r="H49" s="81">
        <v>0</v>
      </c>
      <c r="I49" s="85">
        <f t="shared" si="16"/>
        <v>560</v>
      </c>
      <c r="J49" s="3">
        <f t="shared" ref="J49" si="18">IFERROR(+M49/N49,"")</f>
        <v>26.914285714285715</v>
      </c>
      <c r="K49" s="3">
        <f>+IF(B49&lt;&gt;"CH",IFERROR(VLOOKUP(A49,'Stock Loeke'!A:G,7,),),)+IF(B49="CH",IFERROR(VLOOKUP(A49,'Stock Chef'!A:J,10,),0),0)</f>
        <v>876</v>
      </c>
      <c r="L49" s="24">
        <v>1008</v>
      </c>
      <c r="M49" s="3">
        <f t="shared" si="17"/>
        <v>1884</v>
      </c>
      <c r="N49" s="3">
        <v>70</v>
      </c>
      <c r="O49" s="3">
        <v>12</v>
      </c>
      <c r="P49" s="3">
        <v>36</v>
      </c>
      <c r="Q49" s="59">
        <v>108</v>
      </c>
      <c r="R49" s="11" t="str">
        <f>IFERROR(+VLOOKUP(A49,Quiebres!A:Q,17,0),"")</f>
        <v/>
      </c>
      <c r="S49" s="62" t="s">
        <v>117</v>
      </c>
    </row>
    <row r="50" spans="1:19" ht="18" x14ac:dyDescent="0.3">
      <c r="A50" s="13" t="s">
        <v>87</v>
      </c>
      <c r="B50" s="2" t="s">
        <v>279</v>
      </c>
      <c r="C50" s="4" t="s">
        <v>286</v>
      </c>
      <c r="D50" s="2" t="s">
        <v>204</v>
      </c>
      <c r="E50" s="51">
        <v>0.5</v>
      </c>
      <c r="F50" s="51">
        <f t="shared" si="3"/>
        <v>0</v>
      </c>
      <c r="G50" s="59">
        <f t="shared" si="15"/>
        <v>0</v>
      </c>
      <c r="H50" s="81">
        <v>0</v>
      </c>
      <c r="I50" s="85">
        <f t="shared" si="16"/>
        <v>0</v>
      </c>
      <c r="J50" s="3" t="str">
        <f t="shared" si="1"/>
        <v/>
      </c>
      <c r="K50" s="3">
        <f>+IF(B50&lt;&gt;"CH",IFERROR(VLOOKUP(A50,'Stock Loeke'!A:G,7,),),)+IF(B50="CH",IFERROR(VLOOKUP(A50,'Stock Chef'!A:J,10,),0),0)</f>
        <v>0</v>
      </c>
      <c r="L50" s="24">
        <v>2880</v>
      </c>
      <c r="M50" s="3">
        <f t="shared" si="17"/>
        <v>2880</v>
      </c>
      <c r="N50" s="3">
        <v>0</v>
      </c>
      <c r="O50" s="3">
        <v>0</v>
      </c>
      <c r="P50" s="3">
        <v>0</v>
      </c>
      <c r="Q50" s="59">
        <v>0</v>
      </c>
      <c r="R50" s="11" t="str">
        <f>IFERROR(+VLOOKUP(A50,Quiebres!A:Q,17,0),"")</f>
        <v/>
      </c>
      <c r="S50" s="62" t="s">
        <v>318</v>
      </c>
    </row>
    <row r="51" spans="1:19" ht="18" x14ac:dyDescent="0.3">
      <c r="A51" s="13" t="s">
        <v>61</v>
      </c>
      <c r="B51" s="2" t="s">
        <v>279</v>
      </c>
      <c r="C51" s="4" t="s">
        <v>285</v>
      </c>
      <c r="D51" s="2" t="s">
        <v>178</v>
      </c>
      <c r="E51" s="51">
        <v>0.65</v>
      </c>
      <c r="F51" s="51">
        <f t="shared" si="3"/>
        <v>0</v>
      </c>
      <c r="G51" s="59">
        <f t="shared" si="15"/>
        <v>0</v>
      </c>
      <c r="H51" s="81">
        <v>0</v>
      </c>
      <c r="I51" s="85">
        <f t="shared" si="16"/>
        <v>0</v>
      </c>
      <c r="J51" s="3" t="str">
        <f t="shared" si="1"/>
        <v/>
      </c>
      <c r="K51" s="3">
        <f>+IF(B51&lt;&gt;"CH",IFERROR(VLOOKUP(A51,'Stock Loeke'!A:G,7,),),)+IF(B51="CH",IFERROR(VLOOKUP(A51,'Stock Chef'!A:J,10,),0),0)</f>
        <v>0</v>
      </c>
      <c r="L51" s="24">
        <v>1080</v>
      </c>
      <c r="M51" s="3">
        <f t="shared" si="17"/>
        <v>1080</v>
      </c>
      <c r="N51" s="3">
        <v>0</v>
      </c>
      <c r="O51" s="3">
        <v>0</v>
      </c>
      <c r="P51" s="3">
        <v>0</v>
      </c>
      <c r="Q51" s="59">
        <v>0</v>
      </c>
      <c r="R51" s="11" t="str">
        <f>IFERROR(+VLOOKUP(A51,Quiebres!A:Q,17,0),"")</f>
        <v/>
      </c>
      <c r="S51" s="62" t="s">
        <v>318</v>
      </c>
    </row>
    <row r="52" spans="1:19" ht="18" x14ac:dyDescent="0.3">
      <c r="A52" s="13" t="s">
        <v>79</v>
      </c>
      <c r="B52" s="2" t="s">
        <v>279</v>
      </c>
      <c r="C52" s="4" t="s">
        <v>289</v>
      </c>
      <c r="D52" s="2" t="s">
        <v>196</v>
      </c>
      <c r="E52" s="51">
        <v>0</v>
      </c>
      <c r="F52" s="51">
        <f t="shared" si="3"/>
        <v>0</v>
      </c>
      <c r="G52" s="59">
        <f t="shared" si="15"/>
        <v>0</v>
      </c>
      <c r="H52" s="81">
        <v>0</v>
      </c>
      <c r="I52" s="85">
        <f t="shared" si="16"/>
        <v>0</v>
      </c>
      <c r="J52" s="3" t="str">
        <f t="shared" si="1"/>
        <v/>
      </c>
      <c r="K52" s="3">
        <f>+IF(B52&lt;&gt;"CH",IFERROR(VLOOKUP(A52,'Stock Loeke'!A:G,7,),),)+IF(B52="CH",IFERROR(VLOOKUP(A52,'Stock Chef'!A:J,10,),0),0)</f>
        <v>0</v>
      </c>
      <c r="L52" s="3">
        <v>0</v>
      </c>
      <c r="M52" s="3">
        <f t="shared" si="17"/>
        <v>0</v>
      </c>
      <c r="N52" s="3">
        <v>0</v>
      </c>
      <c r="O52" s="3">
        <v>0</v>
      </c>
      <c r="P52" s="3">
        <v>0</v>
      </c>
      <c r="Q52" s="59">
        <v>0</v>
      </c>
      <c r="R52" s="11" t="str">
        <f>IFERROR(+VLOOKUP(A52,Quiebres!A:Q,17,0),"")</f>
        <v/>
      </c>
      <c r="S52" s="62" t="s">
        <v>318</v>
      </c>
    </row>
    <row r="53" spans="1:19" ht="18" x14ac:dyDescent="0.3">
      <c r="A53" s="13" t="s">
        <v>88</v>
      </c>
      <c r="B53" s="2" t="s">
        <v>279</v>
      </c>
      <c r="C53" s="4" t="s">
        <v>289</v>
      </c>
      <c r="D53" s="2" t="s">
        <v>205</v>
      </c>
      <c r="E53" s="51">
        <v>0</v>
      </c>
      <c r="F53" s="51">
        <f t="shared" si="3"/>
        <v>0</v>
      </c>
      <c r="G53" s="59">
        <f t="shared" si="15"/>
        <v>0</v>
      </c>
      <c r="H53" s="81">
        <v>0</v>
      </c>
      <c r="I53" s="85">
        <f t="shared" si="16"/>
        <v>0</v>
      </c>
      <c r="J53" s="3" t="str">
        <f t="shared" si="1"/>
        <v/>
      </c>
      <c r="K53" s="3">
        <f>+IF(B53&lt;&gt;"CH",IFERROR(VLOOKUP(A53,'Stock Loeke'!A:G,7,),),)+IF(B53="CH",IFERROR(VLOOKUP(A53,'Stock Chef'!A:J,10,),0),0)</f>
        <v>0</v>
      </c>
      <c r="L53" s="3">
        <v>0</v>
      </c>
      <c r="M53" s="3">
        <f t="shared" si="17"/>
        <v>0</v>
      </c>
      <c r="N53" s="3">
        <v>0</v>
      </c>
      <c r="O53" s="3">
        <v>0</v>
      </c>
      <c r="P53" s="3">
        <v>0</v>
      </c>
      <c r="Q53" s="59">
        <v>0</v>
      </c>
      <c r="R53" s="11" t="str">
        <f>IFERROR(+VLOOKUP(A53,Quiebres!A:Q,17,0),"")</f>
        <v/>
      </c>
      <c r="S53" s="62" t="s">
        <v>318</v>
      </c>
    </row>
    <row r="54" spans="1:19" ht="18" x14ac:dyDescent="0.3">
      <c r="A54" s="13" t="s">
        <v>89</v>
      </c>
      <c r="B54" s="2" t="s">
        <v>279</v>
      </c>
      <c r="C54" s="4" t="s">
        <v>289</v>
      </c>
      <c r="D54" s="2" t="s">
        <v>206</v>
      </c>
      <c r="E54" s="51">
        <v>0.92</v>
      </c>
      <c r="F54" s="51">
        <f t="shared" si="3"/>
        <v>0</v>
      </c>
      <c r="G54" s="59">
        <f t="shared" si="15"/>
        <v>0</v>
      </c>
      <c r="H54" s="81">
        <v>0</v>
      </c>
      <c r="I54" s="85">
        <f t="shared" si="16"/>
        <v>0</v>
      </c>
      <c r="J54" s="3" t="str">
        <f t="shared" si="1"/>
        <v/>
      </c>
      <c r="K54" s="3">
        <f>+IF(B54&lt;&gt;"CH",IFERROR(VLOOKUP(A54,'Stock Loeke'!A:G,7,),),)+IF(B54="CH",IFERROR(VLOOKUP(A54,'Stock Chef'!A:J,10,),0),0)</f>
        <v>0</v>
      </c>
      <c r="L54" s="3">
        <v>0</v>
      </c>
      <c r="M54" s="3">
        <f t="shared" si="17"/>
        <v>0</v>
      </c>
      <c r="N54" s="3">
        <v>0</v>
      </c>
      <c r="O54" s="3">
        <v>0</v>
      </c>
      <c r="P54" s="3">
        <v>0</v>
      </c>
      <c r="Q54" s="59">
        <v>0</v>
      </c>
      <c r="R54" s="11" t="str">
        <f>IFERROR(+VLOOKUP(A54,Quiebres!A:Q,17,0),"")</f>
        <v/>
      </c>
      <c r="S54" s="62" t="s">
        <v>318</v>
      </c>
    </row>
    <row r="55" spans="1:19" ht="18" x14ac:dyDescent="0.3">
      <c r="A55" s="13" t="s">
        <v>96</v>
      </c>
      <c r="B55" s="2" t="s">
        <v>279</v>
      </c>
      <c r="C55" s="4" t="s">
        <v>289</v>
      </c>
      <c r="D55" s="2" t="s">
        <v>213</v>
      </c>
      <c r="E55" s="51">
        <v>0.6</v>
      </c>
      <c r="F55" s="51">
        <f t="shared" si="3"/>
        <v>0</v>
      </c>
      <c r="G55" s="59">
        <f t="shared" si="15"/>
        <v>0</v>
      </c>
      <c r="H55" s="81">
        <v>0</v>
      </c>
      <c r="I55" s="85">
        <f t="shared" si="16"/>
        <v>0</v>
      </c>
      <c r="J55" s="3" t="str">
        <f t="shared" si="1"/>
        <v/>
      </c>
      <c r="K55" s="3">
        <f>+IF(B55&lt;&gt;"CH",IFERROR(VLOOKUP(A55,'Stock Loeke'!A:G,7,),),)+IF(B55="CH",IFERROR(VLOOKUP(A55,'Stock Chef'!A:J,10,),0),0)</f>
        <v>0</v>
      </c>
      <c r="L55" s="3">
        <v>0</v>
      </c>
      <c r="M55" s="3">
        <f t="shared" si="17"/>
        <v>0</v>
      </c>
      <c r="N55" s="3">
        <v>0</v>
      </c>
      <c r="O55" s="3">
        <v>0</v>
      </c>
      <c r="P55" s="3">
        <v>0</v>
      </c>
      <c r="Q55" s="59">
        <v>0</v>
      </c>
      <c r="R55" s="11" t="str">
        <f>IFERROR(+VLOOKUP(A55,Quiebres!A:Q,17,0),"")</f>
        <v/>
      </c>
      <c r="S55" s="62" t="s">
        <v>318</v>
      </c>
    </row>
    <row r="56" spans="1:19" ht="18" x14ac:dyDescent="0.3">
      <c r="A56" s="13" t="s">
        <v>98</v>
      </c>
      <c r="B56" s="2" t="s">
        <v>279</v>
      </c>
      <c r="C56" s="4" t="s">
        <v>289</v>
      </c>
      <c r="D56" s="2" t="s">
        <v>215</v>
      </c>
      <c r="E56" s="51">
        <v>0.75</v>
      </c>
      <c r="F56" s="51">
        <f t="shared" si="3"/>
        <v>0</v>
      </c>
      <c r="G56" s="59">
        <f t="shared" si="15"/>
        <v>0</v>
      </c>
      <c r="H56" s="81">
        <v>0</v>
      </c>
      <c r="I56" s="85">
        <f t="shared" si="16"/>
        <v>0</v>
      </c>
      <c r="J56" s="3" t="str">
        <f t="shared" si="1"/>
        <v/>
      </c>
      <c r="K56" s="3">
        <f>+IF(B56&lt;&gt;"CH",IFERROR(VLOOKUP(A56,'Stock Loeke'!A:G,7,),),)+IF(B56="CH",IFERROR(VLOOKUP(A56,'Stock Chef'!A:J,10,),0),0)</f>
        <v>0</v>
      </c>
      <c r="L56" s="3">
        <v>0</v>
      </c>
      <c r="M56" s="3">
        <f t="shared" si="17"/>
        <v>0</v>
      </c>
      <c r="N56" s="3">
        <v>0</v>
      </c>
      <c r="O56" s="3">
        <v>0</v>
      </c>
      <c r="P56" s="3">
        <v>0</v>
      </c>
      <c r="Q56" s="59">
        <v>0</v>
      </c>
      <c r="R56" s="11" t="str">
        <f>IFERROR(+VLOOKUP(A56,Quiebres!A:Q,17,0),"")</f>
        <v/>
      </c>
      <c r="S56" s="62" t="s">
        <v>318</v>
      </c>
    </row>
    <row r="57" spans="1:19" ht="18" x14ac:dyDescent="0.3">
      <c r="A57" s="13" t="s">
        <v>99</v>
      </c>
      <c r="B57" s="2" t="s">
        <v>279</v>
      </c>
      <c r="C57" s="4" t="s">
        <v>289</v>
      </c>
      <c r="D57" s="2" t="s">
        <v>216</v>
      </c>
      <c r="E57" s="51">
        <v>1.1000000000000001</v>
      </c>
      <c r="F57" s="51">
        <f t="shared" si="3"/>
        <v>0</v>
      </c>
      <c r="G57" s="59">
        <f t="shared" si="15"/>
        <v>0</v>
      </c>
      <c r="H57" s="81">
        <v>0</v>
      </c>
      <c r="I57" s="85">
        <f t="shared" si="16"/>
        <v>0</v>
      </c>
      <c r="J57" s="3" t="str">
        <f t="shared" si="1"/>
        <v/>
      </c>
      <c r="K57" s="3">
        <f>+IF(B57&lt;&gt;"CH",IFERROR(VLOOKUP(A57,'Stock Loeke'!A:G,7,),),)+IF(B57="CH",IFERROR(VLOOKUP(A57,'Stock Chef'!A:J,10,),0),0)</f>
        <v>0</v>
      </c>
      <c r="L57" s="3">
        <v>0</v>
      </c>
      <c r="M57" s="3">
        <f t="shared" si="17"/>
        <v>0</v>
      </c>
      <c r="N57" s="3">
        <v>0</v>
      </c>
      <c r="O57" s="3">
        <v>0</v>
      </c>
      <c r="P57" s="3">
        <v>0</v>
      </c>
      <c r="Q57" s="59">
        <v>0</v>
      </c>
      <c r="R57" s="11" t="str">
        <f>IFERROR(+VLOOKUP(A57,Quiebres!A:Q,17,0),"")</f>
        <v/>
      </c>
      <c r="S57" s="62" t="s">
        <v>318</v>
      </c>
    </row>
    <row r="58" spans="1:19" ht="18" x14ac:dyDescent="0.3">
      <c r="A58" s="13" t="s">
        <v>110</v>
      </c>
      <c r="B58" s="2" t="s">
        <v>279</v>
      </c>
      <c r="C58" s="4" t="s">
        <v>289</v>
      </c>
      <c r="D58" s="2" t="s">
        <v>227</v>
      </c>
      <c r="E58" s="51">
        <v>0.48</v>
      </c>
      <c r="F58" s="51">
        <f t="shared" si="3"/>
        <v>0</v>
      </c>
      <c r="G58" s="59">
        <f t="shared" si="15"/>
        <v>0</v>
      </c>
      <c r="H58" s="81">
        <v>0</v>
      </c>
      <c r="I58" s="85">
        <f t="shared" si="16"/>
        <v>0</v>
      </c>
      <c r="J58" s="3" t="str">
        <f t="shared" si="1"/>
        <v/>
      </c>
      <c r="K58" s="3">
        <f>+IF(B58&lt;&gt;"CH",IFERROR(VLOOKUP(A58,'Stock Loeke'!A:G,7,),),)+IF(B58="CH",IFERROR(VLOOKUP(A58,'Stock Chef'!A:J,10,),0),0)</f>
        <v>0</v>
      </c>
      <c r="L58" s="3">
        <v>0</v>
      </c>
      <c r="M58" s="3">
        <f t="shared" si="17"/>
        <v>0</v>
      </c>
      <c r="N58" s="3">
        <v>0</v>
      </c>
      <c r="O58" s="3">
        <v>0</v>
      </c>
      <c r="P58" s="3">
        <v>0</v>
      </c>
      <c r="Q58" s="59">
        <v>0</v>
      </c>
      <c r="R58" s="11" t="str">
        <f>IFERROR(+VLOOKUP(A58,Quiebres!A:Q,17,0),"")</f>
        <v/>
      </c>
      <c r="S58" s="62" t="s">
        <v>318</v>
      </c>
    </row>
    <row r="59" spans="1:19" ht="18" x14ac:dyDescent="0.3">
      <c r="A59" s="13" t="s">
        <v>108</v>
      </c>
      <c r="B59" s="2" t="s">
        <v>279</v>
      </c>
      <c r="C59" s="4" t="s">
        <v>289</v>
      </c>
      <c r="D59" s="2" t="s">
        <v>225</v>
      </c>
      <c r="E59" s="51">
        <v>0.48</v>
      </c>
      <c r="F59" s="51">
        <f t="shared" si="3"/>
        <v>0</v>
      </c>
      <c r="G59" s="59">
        <f t="shared" si="15"/>
        <v>0</v>
      </c>
      <c r="H59" s="81">
        <v>0</v>
      </c>
      <c r="I59" s="85">
        <f t="shared" si="16"/>
        <v>0</v>
      </c>
      <c r="J59" s="3" t="str">
        <f t="shared" si="1"/>
        <v/>
      </c>
      <c r="K59" s="3">
        <f>+IF(B59&lt;&gt;"CH",IFERROR(VLOOKUP(A59,'Stock Loeke'!A:G,7,),),)+IF(B59="CH",IFERROR(VLOOKUP(A59,'Stock Chef'!A:J,10,),0),0)</f>
        <v>0</v>
      </c>
      <c r="L59" s="3">
        <v>0</v>
      </c>
      <c r="M59" s="3">
        <f t="shared" si="17"/>
        <v>0</v>
      </c>
      <c r="N59" s="3">
        <v>0</v>
      </c>
      <c r="O59" s="3">
        <v>0</v>
      </c>
      <c r="P59" s="3">
        <v>0</v>
      </c>
      <c r="Q59" s="59">
        <v>0</v>
      </c>
      <c r="R59" s="11" t="str">
        <f>IFERROR(+VLOOKUP(A59,Quiebres!A:Q,17,0),"")</f>
        <v/>
      </c>
      <c r="S59" s="62" t="s">
        <v>318</v>
      </c>
    </row>
    <row r="60" spans="1:19" ht="18" x14ac:dyDescent="0.3">
      <c r="A60" s="13" t="s">
        <v>67</v>
      </c>
      <c r="B60" s="2" t="s">
        <v>279</v>
      </c>
      <c r="C60" s="4" t="s">
        <v>291</v>
      </c>
      <c r="D60" s="2" t="s">
        <v>184</v>
      </c>
      <c r="E60" s="51"/>
      <c r="F60" s="51">
        <f t="shared" si="3"/>
        <v>0</v>
      </c>
      <c r="G60" s="59">
        <f t="shared" si="15"/>
        <v>0</v>
      </c>
      <c r="H60" s="81">
        <v>0</v>
      </c>
      <c r="I60" s="85">
        <f t="shared" si="16"/>
        <v>0</v>
      </c>
      <c r="J60" s="3" t="str">
        <f t="shared" si="1"/>
        <v/>
      </c>
      <c r="K60" s="3">
        <f>+IF(B60&lt;&gt;"CH",IFERROR(VLOOKUP(A60,'Stock Loeke'!A:G,7,),),)+IF(B60="CH",IFERROR(VLOOKUP(A60,'Stock Chef'!A:J,10,),0),0)</f>
        <v>0</v>
      </c>
      <c r="L60" s="3">
        <v>0</v>
      </c>
      <c r="M60" s="3">
        <f t="shared" si="17"/>
        <v>0</v>
      </c>
      <c r="N60" s="3">
        <v>0</v>
      </c>
      <c r="O60" s="3">
        <v>0</v>
      </c>
      <c r="P60" s="3">
        <v>0</v>
      </c>
      <c r="Q60" s="59">
        <v>0</v>
      </c>
      <c r="R60" s="11" t="str">
        <f>IFERROR(+VLOOKUP(A60,Quiebres!A:Q,17,0),"")</f>
        <v/>
      </c>
      <c r="S60" s="62" t="s">
        <v>318</v>
      </c>
    </row>
    <row r="61" spans="1:19" ht="18" x14ac:dyDescent="0.3">
      <c r="A61" s="13" t="s">
        <v>62</v>
      </c>
      <c r="B61" s="32" t="s">
        <v>279</v>
      </c>
      <c r="C61" s="33" t="s">
        <v>291</v>
      </c>
      <c r="D61" s="32" t="s">
        <v>179</v>
      </c>
      <c r="E61" s="51"/>
      <c r="F61" s="51">
        <f t="shared" si="3"/>
        <v>0</v>
      </c>
      <c r="G61" s="59">
        <f t="shared" ref="G61:G63" si="19">IF((+I61-M61)&lt;0,0,+I61-M61)</f>
        <v>0</v>
      </c>
      <c r="H61" s="81">
        <v>0</v>
      </c>
      <c r="I61" s="86">
        <f t="shared" si="16"/>
        <v>0</v>
      </c>
      <c r="J61" s="3" t="str">
        <f t="shared" ref="J61:J63" si="20">IFERROR(+M61/N61,"")</f>
        <v/>
      </c>
      <c r="K61" s="3">
        <f>+IF(B61&lt;&gt;"CH",IFERROR(VLOOKUP(A61,'Stock Loeke'!A:G,7,),),)+IF(B61="CH",IFERROR(VLOOKUP(A61,'Stock Chef'!A:J,10,),0),0)</f>
        <v>0</v>
      </c>
      <c r="L61" s="34">
        <v>0</v>
      </c>
      <c r="M61" s="34">
        <f t="shared" ref="M61:M63" si="21">+K61+L61</f>
        <v>0</v>
      </c>
      <c r="N61" s="34">
        <v>0</v>
      </c>
      <c r="O61" s="34">
        <v>0</v>
      </c>
      <c r="P61" s="34">
        <v>0</v>
      </c>
      <c r="Q61" s="60">
        <v>0</v>
      </c>
      <c r="R61" s="11" t="str">
        <f>IFERROR(+VLOOKUP(A61,Quiebres!A:Q,17,0),"")</f>
        <v/>
      </c>
      <c r="S61" s="62" t="s">
        <v>318</v>
      </c>
    </row>
    <row r="62" spans="1:19" ht="18" x14ac:dyDescent="0.3">
      <c r="A62" s="13" t="s">
        <v>63</v>
      </c>
      <c r="B62" s="2" t="s">
        <v>279</v>
      </c>
      <c r="C62" s="4" t="s">
        <v>291</v>
      </c>
      <c r="D62" s="2" t="s">
        <v>180</v>
      </c>
      <c r="E62" s="51"/>
      <c r="F62" s="51">
        <f t="shared" ref="F62:F66" si="22">+E62*IF(ISNUMBER(H62),H62,G62)</f>
        <v>0</v>
      </c>
      <c r="G62" s="59">
        <f t="shared" si="19"/>
        <v>0</v>
      </c>
      <c r="H62" s="81">
        <v>0</v>
      </c>
      <c r="I62" s="85">
        <f t="shared" si="16"/>
        <v>0</v>
      </c>
      <c r="J62" s="3" t="str">
        <f t="shared" si="20"/>
        <v/>
      </c>
      <c r="K62" s="3">
        <f>+IF(B62&lt;&gt;"CH",IFERROR(VLOOKUP(A62,'Stock Loeke'!A:G,7,),),)+IF(B62="CH",IFERROR(VLOOKUP(A62,'Stock Chef'!A:J,10,),0),0)</f>
        <v>0</v>
      </c>
      <c r="L62" s="3">
        <v>0</v>
      </c>
      <c r="M62" s="3">
        <f t="shared" si="21"/>
        <v>0</v>
      </c>
      <c r="N62" s="3">
        <v>0</v>
      </c>
      <c r="O62" s="3">
        <v>0</v>
      </c>
      <c r="P62" s="3">
        <v>0</v>
      </c>
      <c r="Q62" s="59">
        <v>0</v>
      </c>
      <c r="R62" s="11" t="str">
        <f>IFERROR(+VLOOKUP(A62,Quiebres!A:Q,17,0),"")</f>
        <v/>
      </c>
      <c r="S62" s="62" t="s">
        <v>318</v>
      </c>
    </row>
    <row r="63" spans="1:19" ht="18" x14ac:dyDescent="0.3">
      <c r="A63" s="13" t="s">
        <v>64</v>
      </c>
      <c r="B63" s="2" t="s">
        <v>279</v>
      </c>
      <c r="C63" s="4" t="s">
        <v>291</v>
      </c>
      <c r="D63" s="2" t="s">
        <v>181</v>
      </c>
      <c r="E63" s="51"/>
      <c r="F63" s="51">
        <f t="shared" si="22"/>
        <v>0</v>
      </c>
      <c r="G63" s="59">
        <f t="shared" si="19"/>
        <v>0</v>
      </c>
      <c r="H63" s="81">
        <v>0</v>
      </c>
      <c r="I63" s="85">
        <f t="shared" si="16"/>
        <v>0</v>
      </c>
      <c r="J63" s="3" t="str">
        <f t="shared" si="20"/>
        <v/>
      </c>
      <c r="K63" s="3">
        <f>+IF(B63&lt;&gt;"CH",IFERROR(VLOOKUP(A63,'Stock Loeke'!A:G,7,),),)+IF(B63="CH",IFERROR(VLOOKUP(A63,'Stock Chef'!A:J,10,),0),0)</f>
        <v>0</v>
      </c>
      <c r="L63" s="3">
        <v>0</v>
      </c>
      <c r="M63" s="3">
        <f t="shared" si="21"/>
        <v>0</v>
      </c>
      <c r="N63" s="3">
        <v>0</v>
      </c>
      <c r="O63" s="3">
        <v>0</v>
      </c>
      <c r="P63" s="3">
        <v>0</v>
      </c>
      <c r="Q63" s="59">
        <v>0</v>
      </c>
      <c r="R63" s="11" t="str">
        <f>IFERROR(+VLOOKUP(A63,Quiebres!A:Q,17,0),"")</f>
        <v/>
      </c>
      <c r="S63" s="62" t="s">
        <v>318</v>
      </c>
    </row>
    <row r="64" spans="1:19" ht="18" x14ac:dyDescent="0.3">
      <c r="A64" s="31" t="s">
        <v>256</v>
      </c>
      <c r="B64" s="32" t="s">
        <v>281</v>
      </c>
      <c r="C64" s="4" t="s">
        <v>291</v>
      </c>
      <c r="D64" s="32" t="s">
        <v>175</v>
      </c>
      <c r="E64" s="72">
        <v>0.19500000000000001</v>
      </c>
      <c r="F64" s="51">
        <f t="shared" si="22"/>
        <v>0</v>
      </c>
      <c r="G64" s="60">
        <f t="shared" ref="G64:G66" si="23">IF((+I64-M64)&lt;0,0,+I64-M64)</f>
        <v>56</v>
      </c>
      <c r="H64" s="81">
        <v>0</v>
      </c>
      <c r="I64" s="86">
        <f t="shared" ref="I64:I66" si="24">+$I$3*N64</f>
        <v>5600</v>
      </c>
      <c r="J64" s="34">
        <f t="shared" ref="J64:J66" si="25">IFERROR(+M64/N64,"")</f>
        <v>7.92</v>
      </c>
      <c r="K64" s="3">
        <f>+IF(B64&lt;&gt;"CH",IFERROR(VLOOKUP(A64,'Stock Loeke'!A:G,7,),),)+IF(B64="CH",IFERROR(VLOOKUP(A64,'Stock Chef'!A:J,10,),0),0)</f>
        <v>4344</v>
      </c>
      <c r="L64" s="34">
        <v>1200</v>
      </c>
      <c r="M64" s="34">
        <f t="shared" ref="M64:M66" si="26">+K64+L64</f>
        <v>5544</v>
      </c>
      <c r="N64" s="34">
        <v>700</v>
      </c>
      <c r="O64" s="34">
        <v>840</v>
      </c>
      <c r="P64" s="34">
        <v>1440</v>
      </c>
      <c r="Q64" s="60">
        <v>108</v>
      </c>
      <c r="R64" s="31" t="s">
        <v>327</v>
      </c>
      <c r="S64" s="73" t="s">
        <v>256</v>
      </c>
    </row>
    <row r="65" spans="1:19" ht="18" x14ac:dyDescent="0.3">
      <c r="A65" s="13" t="s">
        <v>17</v>
      </c>
      <c r="B65" s="2" t="s">
        <v>280</v>
      </c>
      <c r="C65" s="4" t="s">
        <v>291</v>
      </c>
      <c r="D65" s="2" t="s">
        <v>134</v>
      </c>
      <c r="E65" s="51">
        <v>0.19500000000000001</v>
      </c>
      <c r="F65" s="51">
        <f>+E65*IF(ISNUMBER(H65),H65,G65)</f>
        <v>0</v>
      </c>
      <c r="G65" s="59">
        <f>IF((+I65-M65)&lt;0,0,+I65-M65)</f>
        <v>268</v>
      </c>
      <c r="H65" s="81">
        <v>0</v>
      </c>
      <c r="I65" s="85">
        <f>+$I$3*N65</f>
        <v>5416</v>
      </c>
      <c r="J65" s="3">
        <f>IFERROR(+M65/N65,"")</f>
        <v>7.6041358936484489</v>
      </c>
      <c r="K65" s="3">
        <f>+IF(B65&lt;&gt;"CH",IFERROR(VLOOKUP(A65,'Stock Loeke'!A:G,7,),),)+IF(B65="CH",IFERROR(VLOOKUP(A65,'Stock Chef'!A:J,10,),0),0)</f>
        <v>3348</v>
      </c>
      <c r="L65" s="3">
        <v>1800</v>
      </c>
      <c r="M65" s="3">
        <f>+K65+L65</f>
        <v>5148</v>
      </c>
      <c r="N65" s="102">
        <v>677</v>
      </c>
      <c r="O65" s="3">
        <v>0</v>
      </c>
      <c r="P65" s="3">
        <v>0</v>
      </c>
      <c r="Q65" s="59">
        <v>0</v>
      </c>
      <c r="R65" s="11" t="str">
        <f>IFERROR(+VLOOKUP(A65,Quiebres!A:Q,17,0),"")</f>
        <v/>
      </c>
      <c r="S65" s="62" t="s">
        <v>318</v>
      </c>
    </row>
    <row r="66" spans="1:19" ht="18" x14ac:dyDescent="0.3">
      <c r="A66" s="31" t="s">
        <v>58</v>
      </c>
      <c r="B66" s="32" t="s">
        <v>279</v>
      </c>
      <c r="C66" s="33" t="s">
        <v>291</v>
      </c>
      <c r="D66" s="32" t="s">
        <v>175</v>
      </c>
      <c r="E66" s="72">
        <v>0.2</v>
      </c>
      <c r="F66" s="72">
        <f t="shared" si="22"/>
        <v>0</v>
      </c>
      <c r="G66" s="60">
        <f t="shared" si="23"/>
        <v>0</v>
      </c>
      <c r="H66" s="90">
        <v>0</v>
      </c>
      <c r="I66" s="86">
        <f t="shared" si="24"/>
        <v>19200</v>
      </c>
      <c r="J66" s="34">
        <f t="shared" si="25"/>
        <v>10.914999999999999</v>
      </c>
      <c r="K66" s="3">
        <f>+IF(B66&lt;&gt;"CH",IFERROR(VLOOKUP(A66,'Stock Loeke'!A:G,7,),),)+IF(B66="CH",IFERROR(VLOOKUP(A66,'Stock Chef'!A:J,10,),0),0)</f>
        <v>26196</v>
      </c>
      <c r="L66" s="34">
        <v>0</v>
      </c>
      <c r="M66" s="34">
        <f t="shared" si="26"/>
        <v>26196</v>
      </c>
      <c r="N66" s="34">
        <v>2400</v>
      </c>
      <c r="O66" s="34">
        <v>1524</v>
      </c>
      <c r="P66" s="34">
        <v>1476</v>
      </c>
      <c r="Q66" s="60">
        <v>4116</v>
      </c>
      <c r="R66" s="31" t="str">
        <f>IFERROR(+VLOOKUP(A66,Quiebres!A:Q,17,0),"")</f>
        <v/>
      </c>
      <c r="S66" s="73" t="s">
        <v>58</v>
      </c>
    </row>
    <row r="67" spans="1:19" ht="15" thickBot="1" x14ac:dyDescent="0.35">
      <c r="C67"/>
      <c r="E67"/>
      <c r="F67"/>
    </row>
    <row r="68" spans="1:19" ht="16.2" thickBot="1" x14ac:dyDescent="0.35">
      <c r="C68"/>
      <c r="E68" s="66" t="s">
        <v>288</v>
      </c>
      <c r="F68" s="116">
        <f>+SUM(F70:F84)</f>
        <v>45725</v>
      </c>
      <c r="I68">
        <v>7</v>
      </c>
      <c r="O68" s="155" t="s">
        <v>10</v>
      </c>
      <c r="P68" s="156"/>
      <c r="Q68" s="157"/>
    </row>
    <row r="69" spans="1:19" ht="31.8" thickBot="1" x14ac:dyDescent="0.35">
      <c r="A69" s="20" t="s">
        <v>1</v>
      </c>
      <c r="B69" s="23" t="s">
        <v>278</v>
      </c>
      <c r="C69" s="21" t="s">
        <v>0</v>
      </c>
      <c r="D69" s="21" t="s">
        <v>2</v>
      </c>
      <c r="E69" s="53" t="s">
        <v>315</v>
      </c>
      <c r="F69" s="117" t="s">
        <v>314</v>
      </c>
      <c r="G69" s="57" t="s">
        <v>3</v>
      </c>
      <c r="H69" s="88" t="s">
        <v>321</v>
      </c>
      <c r="I69" s="80" t="s">
        <v>4</v>
      </c>
      <c r="J69" s="21" t="s">
        <v>299</v>
      </c>
      <c r="K69" s="21" t="s">
        <v>5</v>
      </c>
      <c r="L69" s="21" t="s">
        <v>6</v>
      </c>
      <c r="M69" s="21" t="s">
        <v>7</v>
      </c>
      <c r="N69" s="21" t="s">
        <v>8</v>
      </c>
      <c r="O69" s="21" t="s">
        <v>245</v>
      </c>
      <c r="P69" s="21" t="s">
        <v>246</v>
      </c>
      <c r="Q69" s="57" t="s">
        <v>247</v>
      </c>
      <c r="R69" s="74" t="s">
        <v>312</v>
      </c>
      <c r="S69" s="75" t="s">
        <v>317</v>
      </c>
    </row>
    <row r="70" spans="1:19" ht="18.600000000000001" thickBot="1" x14ac:dyDescent="0.35">
      <c r="A70" s="6" t="s">
        <v>34</v>
      </c>
      <c r="B70" s="7" t="s">
        <v>281</v>
      </c>
      <c r="C70" s="8" t="s">
        <v>288</v>
      </c>
      <c r="D70" s="7" t="s">
        <v>264</v>
      </c>
      <c r="E70" s="68">
        <v>0.5</v>
      </c>
      <c r="F70" s="158">
        <f t="shared" ref="F70:F76" si="27">+E70*IF(ISNUMBER(H70),H70,G70)</f>
        <v>9000</v>
      </c>
      <c r="G70" s="161">
        <f>IF((+I70-M70)&lt;0,0,+I70-M70)</f>
        <v>18264</v>
      </c>
      <c r="H70" s="164">
        <v>18000</v>
      </c>
      <c r="I70" s="152">
        <f>(+$I$68*N70)+($I$68*N72)</f>
        <v>25200</v>
      </c>
      <c r="J70" s="152">
        <f>IFERROR(+(M70+M72)/(N70+N72+N71),"")</f>
        <v>1.9266666666666667</v>
      </c>
      <c r="K70" s="3">
        <f>+IF(B70&lt;&gt;"CH",IFERROR(VLOOKUP(A70,'Stock Loeke'!A:G,7,),),)+IF(B70="CH",IFERROR(VLOOKUP(A70,'Stock Chef'!A:J,10,),0),0)</f>
        <v>264</v>
      </c>
      <c r="L70" s="9">
        <v>0</v>
      </c>
      <c r="M70" s="152">
        <f>+K70+L70+K72+L72</f>
        <v>6936</v>
      </c>
      <c r="N70" s="9">
        <v>3600</v>
      </c>
      <c r="O70" s="9">
        <v>96</v>
      </c>
      <c r="P70" s="9">
        <v>984</v>
      </c>
      <c r="Q70" s="58">
        <v>0</v>
      </c>
      <c r="R70" s="6"/>
      <c r="S70" s="69" t="s">
        <v>34</v>
      </c>
    </row>
    <row r="71" spans="1:19" ht="18" x14ac:dyDescent="0.3">
      <c r="A71" s="122" t="s">
        <v>386</v>
      </c>
      <c r="B71" s="123" t="s">
        <v>280</v>
      </c>
      <c r="C71" s="8" t="s">
        <v>288</v>
      </c>
      <c r="D71" s="7" t="s">
        <v>264</v>
      </c>
      <c r="E71" s="68">
        <v>0.5</v>
      </c>
      <c r="F71" s="159"/>
      <c r="G71" s="162"/>
      <c r="H71" s="165"/>
      <c r="I71" s="153"/>
      <c r="J71" s="153"/>
      <c r="K71" s="3">
        <f>+IF(B71&lt;&gt;"CH",IFERROR(VLOOKUP(A71,'Stock Loeke'!A:G,7,),),)+IF(B71="CH",IFERROR(VLOOKUP(A71,'Stock Chef'!A:J,10,),0),0)</f>
        <v>384</v>
      </c>
      <c r="L71" s="9">
        <v>0</v>
      </c>
      <c r="M71" s="153"/>
      <c r="N71" s="127"/>
      <c r="O71" s="127"/>
      <c r="P71" s="127"/>
      <c r="Q71" s="128"/>
      <c r="R71" s="148"/>
      <c r="S71" s="133"/>
    </row>
    <row r="72" spans="1:19" ht="18.600000000000001" thickBot="1" x14ac:dyDescent="0.35">
      <c r="A72" s="19" t="s">
        <v>34</v>
      </c>
      <c r="B72" s="15" t="s">
        <v>279</v>
      </c>
      <c r="C72" s="16" t="s">
        <v>288</v>
      </c>
      <c r="D72" s="15" t="s">
        <v>151</v>
      </c>
      <c r="E72" s="70">
        <v>0.5</v>
      </c>
      <c r="F72" s="160"/>
      <c r="G72" s="163"/>
      <c r="H72" s="166"/>
      <c r="I72" s="154"/>
      <c r="J72" s="154"/>
      <c r="K72" s="3">
        <f>+IF(B72&lt;&gt;"CH",IFERROR(VLOOKUP(A72,'Stock Loeke'!A:G,7,),),)+IF(B72="CH",IFERROR(VLOOKUP(A72,'Stock Chef'!A:J,10,),0),0)</f>
        <v>6672</v>
      </c>
      <c r="L72" s="17">
        <v>0</v>
      </c>
      <c r="M72" s="154"/>
      <c r="N72" s="17"/>
      <c r="O72" s="17">
        <v>504</v>
      </c>
      <c r="P72" s="17">
        <v>720</v>
      </c>
      <c r="Q72" s="61">
        <v>1344</v>
      </c>
      <c r="R72" s="19"/>
      <c r="S72" s="64" t="s">
        <v>34</v>
      </c>
    </row>
    <row r="73" spans="1:19" ht="18" x14ac:dyDescent="0.3">
      <c r="A73" s="31" t="s">
        <v>36</v>
      </c>
      <c r="B73" s="32" t="s">
        <v>279</v>
      </c>
      <c r="C73" s="33" t="s">
        <v>288</v>
      </c>
      <c r="D73" s="32" t="s">
        <v>153</v>
      </c>
      <c r="E73" s="72">
        <v>3.95</v>
      </c>
      <c r="F73" s="118">
        <f t="shared" si="27"/>
        <v>4740</v>
      </c>
      <c r="G73" s="60">
        <f t="shared" ref="G73:G75" si="28">IF((+I73-M73)&lt;0,0,+I73-M73)</f>
        <v>720</v>
      </c>
      <c r="H73" s="90">
        <v>1200</v>
      </c>
      <c r="I73" s="86">
        <f>+$I$68*N73</f>
        <v>840</v>
      </c>
      <c r="J73" s="34">
        <f t="shared" ref="J73:J75" si="29">IFERROR(+M73/N73,"")</f>
        <v>1</v>
      </c>
      <c r="K73" s="3">
        <f>+IF(B73&lt;&gt;"CH",IFERROR(VLOOKUP(A73,'Stock Loeke'!A:G,7,),),)+IF(B73="CH",IFERROR(VLOOKUP(A73,'Stock Chef'!A:J,10,),0),0)</f>
        <v>120</v>
      </c>
      <c r="L73" s="34">
        <v>0</v>
      </c>
      <c r="M73" s="34">
        <f t="shared" ref="M73:M75" si="30">+K73+L73</f>
        <v>120</v>
      </c>
      <c r="N73" s="34">
        <v>120</v>
      </c>
      <c r="O73" s="34">
        <v>56</v>
      </c>
      <c r="P73" s="34">
        <v>52</v>
      </c>
      <c r="Q73" s="60">
        <v>80</v>
      </c>
      <c r="R73" s="31"/>
      <c r="S73" s="73" t="s">
        <v>36</v>
      </c>
    </row>
    <row r="74" spans="1:19" ht="18" x14ac:dyDescent="0.3">
      <c r="A74" s="11" t="s">
        <v>11</v>
      </c>
      <c r="B74" s="2" t="s">
        <v>279</v>
      </c>
      <c r="C74" s="4" t="s">
        <v>288</v>
      </c>
      <c r="D74" s="2" t="s">
        <v>128</v>
      </c>
      <c r="E74" s="56">
        <v>0.85</v>
      </c>
      <c r="F74" s="119">
        <f t="shared" si="27"/>
        <v>1020</v>
      </c>
      <c r="G74" s="59">
        <f t="shared" si="28"/>
        <v>1068</v>
      </c>
      <c r="H74" s="81">
        <v>1200</v>
      </c>
      <c r="I74" s="85">
        <f>+$I$68*N74</f>
        <v>1680</v>
      </c>
      <c r="J74" s="3">
        <f t="shared" si="29"/>
        <v>2.5499999999999998</v>
      </c>
      <c r="K74" s="3">
        <f>+IF(B74&lt;&gt;"CH",IFERROR(VLOOKUP(A74,'Stock Loeke'!A:G,7,),),)+IF(B74="CH",IFERROR(VLOOKUP(A74,'Stock Chef'!A:J,10,),0),0)</f>
        <v>612</v>
      </c>
      <c r="L74" s="3">
        <v>0</v>
      </c>
      <c r="M74" s="3">
        <f t="shared" si="30"/>
        <v>612</v>
      </c>
      <c r="N74" s="3">
        <v>240</v>
      </c>
      <c r="O74" s="3">
        <v>132</v>
      </c>
      <c r="P74" s="3">
        <v>324</v>
      </c>
      <c r="Q74" s="59">
        <v>384</v>
      </c>
      <c r="R74" s="11"/>
      <c r="S74" s="62" t="s">
        <v>11</v>
      </c>
    </row>
    <row r="75" spans="1:19" ht="18.600000000000001" thickBot="1" x14ac:dyDescent="0.35">
      <c r="A75" s="103" t="s">
        <v>35</v>
      </c>
      <c r="B75" s="104" t="s">
        <v>279</v>
      </c>
      <c r="C75" s="105" t="s">
        <v>288</v>
      </c>
      <c r="D75" s="104" t="s">
        <v>152</v>
      </c>
      <c r="E75" s="106">
        <v>2.2999999999999998</v>
      </c>
      <c r="F75" s="120">
        <f t="shared" si="27"/>
        <v>2760</v>
      </c>
      <c r="G75" s="107">
        <f t="shared" si="28"/>
        <v>228</v>
      </c>
      <c r="H75" s="108">
        <v>1200</v>
      </c>
      <c r="I75" s="109">
        <f>+$I$68*N75</f>
        <v>840</v>
      </c>
      <c r="J75" s="110">
        <f t="shared" si="29"/>
        <v>5.0999999999999996</v>
      </c>
      <c r="K75" s="3">
        <f>+IF(B75&lt;&gt;"CH",IFERROR(VLOOKUP(A75,'Stock Loeke'!A:G,7,),),)+IF(B75="CH",IFERROR(VLOOKUP(A75,'Stock Chef'!A:J,10,),0),0)</f>
        <v>612</v>
      </c>
      <c r="L75" s="110">
        <v>0</v>
      </c>
      <c r="M75" s="110">
        <f t="shared" si="30"/>
        <v>612</v>
      </c>
      <c r="N75" s="110">
        <v>120</v>
      </c>
      <c r="O75" s="110">
        <v>150</v>
      </c>
      <c r="P75" s="110">
        <v>288</v>
      </c>
      <c r="Q75" s="107">
        <v>90</v>
      </c>
      <c r="R75" s="103" t="str">
        <f>IFERROR(+VLOOKUP(A75,Quiebres!A:Q,17,0),"")</f>
        <v/>
      </c>
      <c r="S75" s="111" t="s">
        <v>35</v>
      </c>
    </row>
    <row r="76" spans="1:19" ht="18.600000000000001" thickBot="1" x14ac:dyDescent="0.35">
      <c r="A76" s="6" t="s">
        <v>33</v>
      </c>
      <c r="B76" s="7" t="s">
        <v>279</v>
      </c>
      <c r="C76" s="8" t="s">
        <v>288</v>
      </c>
      <c r="D76" s="7" t="s">
        <v>150</v>
      </c>
      <c r="E76" s="68">
        <v>0.4</v>
      </c>
      <c r="F76" s="158">
        <f t="shared" si="27"/>
        <v>480</v>
      </c>
      <c r="G76" s="152">
        <f t="shared" ref="G76" si="31">IF((+I76-M76)&lt;0,0,+I76-M76)</f>
        <v>312</v>
      </c>
      <c r="H76" s="164">
        <v>1200</v>
      </c>
      <c r="I76" s="152">
        <f>(+$I$68*N76)+($I$68*N78)+($I$68*N77)</f>
        <v>10080</v>
      </c>
      <c r="J76" s="152">
        <f>IFERROR(+(M76+M78)/(N76+N78+N77),"")</f>
        <v>6.7833333333333332</v>
      </c>
      <c r="K76" s="3">
        <f>+IF(B76&lt;&gt;"CH",IFERROR(VLOOKUP(A76,'Stock Loeke'!A:G,7,),),)+IF(B76="CH",IFERROR(VLOOKUP(A76,'Stock Chef'!A:J,10,),0),0)</f>
        <v>8232</v>
      </c>
      <c r="L76" s="9">
        <v>0</v>
      </c>
      <c r="M76" s="152">
        <f>+K76+L76+K78+L78</f>
        <v>9768</v>
      </c>
      <c r="N76" s="9">
        <v>912</v>
      </c>
      <c r="O76" s="9">
        <v>360</v>
      </c>
      <c r="P76" s="9">
        <v>528</v>
      </c>
      <c r="Q76" s="58">
        <v>192</v>
      </c>
      <c r="R76" s="6" t="str">
        <f>IFERROR(+VLOOKUP(A76,Quiebres!A:Q,17,0),"")</f>
        <v/>
      </c>
      <c r="S76" s="69" t="s">
        <v>33</v>
      </c>
    </row>
    <row r="77" spans="1:19" ht="18" x14ac:dyDescent="0.3">
      <c r="A77" s="122" t="s">
        <v>384</v>
      </c>
      <c r="B77" s="123" t="s">
        <v>280</v>
      </c>
      <c r="C77" s="8" t="s">
        <v>288</v>
      </c>
      <c r="D77" s="7" t="s">
        <v>150</v>
      </c>
      <c r="E77" s="68">
        <v>0.4</v>
      </c>
      <c r="F77" s="159"/>
      <c r="G77" s="153"/>
      <c r="H77" s="165"/>
      <c r="I77" s="153"/>
      <c r="J77" s="153"/>
      <c r="K77" s="3">
        <f>+IF(B77&lt;&gt;"CH",IFERROR(VLOOKUP(A77,'Stock Loeke'!A:G,7,),),)+IF(B77="CH",IFERROR(VLOOKUP(A77,'Stock Chef'!A:J,10,),0),0)</f>
        <v>360</v>
      </c>
      <c r="L77" s="9">
        <v>0</v>
      </c>
      <c r="M77" s="153"/>
      <c r="N77" s="9">
        <v>360</v>
      </c>
      <c r="O77" s="127"/>
      <c r="P77" s="127"/>
      <c r="Q77" s="128"/>
      <c r="R77" s="148"/>
      <c r="S77" s="133"/>
    </row>
    <row r="78" spans="1:19" ht="18.600000000000001" thickBot="1" x14ac:dyDescent="0.35">
      <c r="A78" s="19" t="s">
        <v>33</v>
      </c>
      <c r="B78" s="15" t="s">
        <v>281</v>
      </c>
      <c r="C78" s="16" t="s">
        <v>288</v>
      </c>
      <c r="D78" s="15" t="s">
        <v>263</v>
      </c>
      <c r="E78" s="70">
        <v>0.4</v>
      </c>
      <c r="F78" s="160"/>
      <c r="G78" s="154"/>
      <c r="H78" s="166"/>
      <c r="I78" s="154"/>
      <c r="J78" s="154"/>
      <c r="K78" s="3">
        <f>+IF(B78&lt;&gt;"CH",IFERROR(VLOOKUP(A78,'Stock Loeke'!A:G,7,),),)+IF(B78="CH",IFERROR(VLOOKUP(A78,'Stock Chef'!A:J,10,),0),0)</f>
        <v>1536</v>
      </c>
      <c r="L78" s="17">
        <v>0</v>
      </c>
      <c r="M78" s="154"/>
      <c r="N78" s="17">
        <v>168</v>
      </c>
      <c r="O78" s="17">
        <v>48</v>
      </c>
      <c r="P78" s="17">
        <v>0</v>
      </c>
      <c r="Q78" s="61">
        <v>0</v>
      </c>
      <c r="R78" s="19" t="str">
        <f>IFERROR(+VLOOKUP(A78,Quiebres!A:Q,17,0),"")</f>
        <v/>
      </c>
      <c r="S78" s="64" t="s">
        <v>33</v>
      </c>
    </row>
    <row r="79" spans="1:19" ht="18" x14ac:dyDescent="0.3">
      <c r="A79" s="129" t="s">
        <v>342</v>
      </c>
      <c r="B79" s="7" t="s">
        <v>279</v>
      </c>
      <c r="C79" s="141" t="s">
        <v>288</v>
      </c>
      <c r="D79" s="142" t="s">
        <v>1170</v>
      </c>
      <c r="E79" s="68">
        <v>0.2</v>
      </c>
      <c r="F79" s="158">
        <f>+E79*IF(ISNUMBER(H79),H79,G79)</f>
        <v>15600</v>
      </c>
      <c r="G79" s="161">
        <f>IF((+I79-M79)&lt;0,0,+I79-M79)</f>
        <v>78864</v>
      </c>
      <c r="H79" s="164">
        <v>78000</v>
      </c>
      <c r="I79" s="152">
        <f>(+$I$68*N79)+($I$68*N80)+($I$68*N81)</f>
        <v>84840</v>
      </c>
      <c r="J79" s="152">
        <f>IFERROR(+(M79)/(N79+N80+N81),"")</f>
        <v>0.49306930693069306</v>
      </c>
      <c r="K79" s="3">
        <f>+IF(B79&lt;&gt;"CH",IFERROR(VLOOKUP(A79,'Stock Loeke'!A:G,7,),),)+IF(B79="CH",IFERROR(VLOOKUP(A79,'Stock Chef'!A:J,10,),0),0)</f>
        <v>5976</v>
      </c>
      <c r="L79" s="9">
        <v>0</v>
      </c>
      <c r="M79" s="152">
        <f>+K79+L79+K80+L80+K81+L81</f>
        <v>5976</v>
      </c>
      <c r="N79" s="9">
        <v>9000</v>
      </c>
      <c r="O79" s="9">
        <v>7596</v>
      </c>
      <c r="P79" s="9">
        <v>8028</v>
      </c>
      <c r="Q79" s="58">
        <v>10404</v>
      </c>
      <c r="R79" s="139">
        <v>9036</v>
      </c>
      <c r="S79" s="124" t="s">
        <v>342</v>
      </c>
    </row>
    <row r="80" spans="1:19" ht="18" x14ac:dyDescent="0.3">
      <c r="A80" s="134">
        <v>824</v>
      </c>
      <c r="B80" s="32" t="s">
        <v>281</v>
      </c>
      <c r="C80" s="135" t="s">
        <v>288</v>
      </c>
      <c r="D80" s="143" t="s">
        <v>1170</v>
      </c>
      <c r="E80" s="72">
        <v>0.2</v>
      </c>
      <c r="F80" s="159"/>
      <c r="G80" s="162"/>
      <c r="H80" s="165"/>
      <c r="I80" s="153"/>
      <c r="J80" s="153"/>
      <c r="K80" s="3">
        <f>+IF(B80&lt;&gt;"CH",IFERROR(VLOOKUP(A80,'Stock Loeke'!A:G,7,),),)+IF(B80="CH",IFERROR(VLOOKUP(A80,'Stock Chef'!A:J,10,),0),0)</f>
        <v>0</v>
      </c>
      <c r="L80" s="3">
        <v>0</v>
      </c>
      <c r="M80" s="153"/>
      <c r="N80" s="3">
        <v>1920</v>
      </c>
      <c r="O80" s="3">
        <v>1284</v>
      </c>
      <c r="P80" s="3">
        <v>0</v>
      </c>
      <c r="Q80" s="59">
        <v>684</v>
      </c>
      <c r="R80" s="147">
        <v>1236</v>
      </c>
      <c r="S80" s="62">
        <v>824</v>
      </c>
    </row>
    <row r="81" spans="1:19" ht="18.600000000000001" thickBot="1" x14ac:dyDescent="0.35">
      <c r="A81" s="122">
        <v>110</v>
      </c>
      <c r="B81" s="123" t="s">
        <v>280</v>
      </c>
      <c r="C81" s="5" t="s">
        <v>288</v>
      </c>
      <c r="D81" s="144" t="s">
        <v>1170</v>
      </c>
      <c r="E81" s="146">
        <v>0.2</v>
      </c>
      <c r="F81" s="160"/>
      <c r="G81" s="163"/>
      <c r="H81" s="166"/>
      <c r="I81" s="154"/>
      <c r="J81" s="154"/>
      <c r="K81" s="3">
        <f>+IF(B81&lt;&gt;"CH",IFERROR(VLOOKUP(A81,'Stock Loeke'!A:G,7,),),)+IF(B81="CH",IFERROR(VLOOKUP(A81,'Stock Chef'!A:J,10,),0),0)</f>
        <v>0</v>
      </c>
      <c r="L81" s="127">
        <v>0</v>
      </c>
      <c r="M81" s="154"/>
      <c r="N81" s="127">
        <v>1200</v>
      </c>
      <c r="O81" s="127">
        <v>0</v>
      </c>
      <c r="P81" s="127">
        <v>324</v>
      </c>
      <c r="Q81" s="128">
        <v>576</v>
      </c>
      <c r="R81" s="140">
        <v>684</v>
      </c>
      <c r="S81" s="133">
        <v>110</v>
      </c>
    </row>
    <row r="82" spans="1:19" ht="18" x14ac:dyDescent="0.3">
      <c r="A82" s="129" t="s">
        <v>344</v>
      </c>
      <c r="B82" s="7" t="s">
        <v>279</v>
      </c>
      <c r="C82" s="141" t="s">
        <v>288</v>
      </c>
      <c r="D82" s="142" t="s">
        <v>345</v>
      </c>
      <c r="E82" s="68">
        <v>0.25</v>
      </c>
      <c r="F82" s="158">
        <f t="shared" ref="F82" si="32">+E82*IF(ISNUMBER(H82),H82,G82)</f>
        <v>12125</v>
      </c>
      <c r="G82" s="161">
        <f>IF((+I82-M82)&lt;0,0,+I82-M82)</f>
        <v>48672</v>
      </c>
      <c r="H82" s="164">
        <v>48500</v>
      </c>
      <c r="I82" s="152">
        <f>(+$I$68*N82)+($I$68*N83)+($I$68*N84)</f>
        <v>47880</v>
      </c>
      <c r="J82" s="152">
        <f>IFERROR(+(M82+M83+M84)/(N82+N83+N84),"")</f>
        <v>-0.11578947368421053</v>
      </c>
      <c r="K82" s="3">
        <f>+IF(B82&lt;&gt;"CH",IFERROR(VLOOKUP(A82,'Stock Loeke'!A:G,7,),),)+IF(B82="CH",IFERROR(VLOOKUP(A82,'Stock Chef'!A:J,10,),0),0)</f>
        <v>-792</v>
      </c>
      <c r="L82" s="9">
        <v>0</v>
      </c>
      <c r="M82" s="152">
        <f>+K82+L82+K83+L83+K84+L84</f>
        <v>-792</v>
      </c>
      <c r="N82" s="9">
        <v>4512</v>
      </c>
      <c r="O82" s="9">
        <v>1176</v>
      </c>
      <c r="P82" s="9">
        <v>2904</v>
      </c>
      <c r="Q82" s="58">
        <v>4968</v>
      </c>
      <c r="R82" s="139">
        <v>6792</v>
      </c>
      <c r="S82" s="136" t="s">
        <v>344</v>
      </c>
    </row>
    <row r="83" spans="1:19" ht="18" x14ac:dyDescent="0.3">
      <c r="A83" s="134">
        <v>825</v>
      </c>
      <c r="B83" s="32" t="s">
        <v>281</v>
      </c>
      <c r="C83" s="135" t="s">
        <v>288</v>
      </c>
      <c r="D83" s="143" t="s">
        <v>345</v>
      </c>
      <c r="E83" s="72">
        <v>0.5</v>
      </c>
      <c r="F83" s="159"/>
      <c r="G83" s="162"/>
      <c r="H83" s="165"/>
      <c r="I83" s="153"/>
      <c r="J83" s="153"/>
      <c r="K83" s="3">
        <f>+IF(B83&lt;&gt;"CH",IFERROR(VLOOKUP(A83,'Stock Loeke'!A:G,7,),),)+IF(B83="CH",IFERROR(VLOOKUP(A83,'Stock Chef'!A:J,10,),0),0)</f>
        <v>0</v>
      </c>
      <c r="L83" s="3">
        <v>0</v>
      </c>
      <c r="M83" s="153"/>
      <c r="N83" s="3">
        <v>2328</v>
      </c>
      <c r="O83" s="3">
        <v>1008</v>
      </c>
      <c r="P83" s="3">
        <v>0</v>
      </c>
      <c r="Q83" s="59">
        <v>624</v>
      </c>
      <c r="R83" s="147">
        <v>1128</v>
      </c>
      <c r="S83" s="137">
        <v>825</v>
      </c>
    </row>
    <row r="84" spans="1:19" ht="18.600000000000001" thickBot="1" x14ac:dyDescent="0.35">
      <c r="A84" s="130">
        <v>111</v>
      </c>
      <c r="B84" s="131" t="s">
        <v>280</v>
      </c>
      <c r="C84" s="132" t="s">
        <v>288</v>
      </c>
      <c r="D84" s="145" t="s">
        <v>1171</v>
      </c>
      <c r="E84" s="89">
        <v>0.2</v>
      </c>
      <c r="F84" s="160"/>
      <c r="G84" s="163"/>
      <c r="H84" s="166"/>
      <c r="I84" s="154"/>
      <c r="J84" s="154"/>
      <c r="K84" s="3">
        <f>+IF(B84&lt;&gt;"CH",IFERROR(VLOOKUP(A84,'Stock Loeke'!A:G,7,),),)+IF(B84="CH",IFERROR(VLOOKUP(A84,'Stock Chef'!A:J,10,),0),0)</f>
        <v>0</v>
      </c>
      <c r="L84" s="113">
        <v>0</v>
      </c>
      <c r="M84" s="154"/>
      <c r="N84" s="113">
        <v>0</v>
      </c>
      <c r="O84" s="113">
        <v>0</v>
      </c>
      <c r="P84" s="113">
        <v>0</v>
      </c>
      <c r="Q84" s="112">
        <v>0</v>
      </c>
      <c r="R84" s="114">
        <v>0</v>
      </c>
      <c r="S84" s="138">
        <v>111</v>
      </c>
    </row>
    <row r="85" spans="1:19" ht="18.600000000000001" thickBot="1" x14ac:dyDescent="0.35">
      <c r="E85" s="67"/>
      <c r="F85" s="125"/>
      <c r="G85" s="121"/>
      <c r="H85" s="121"/>
      <c r="I85" s="121"/>
      <c r="J85" s="121"/>
      <c r="K85" s="121"/>
      <c r="L85" s="121"/>
      <c r="M85" s="121"/>
      <c r="N85" s="121"/>
      <c r="O85" s="126"/>
      <c r="P85" s="127"/>
      <c r="Q85" s="128"/>
    </row>
    <row r="86" spans="1:19" ht="31.8" thickBot="1" x14ac:dyDescent="0.35">
      <c r="C86"/>
      <c r="E86" s="66" t="s">
        <v>287</v>
      </c>
      <c r="F86" s="76">
        <f>+SUM(F88:F115)</f>
        <v>48047.115999999987</v>
      </c>
      <c r="G86" t="s">
        <v>1172</v>
      </c>
      <c r="H86" t="s">
        <v>1173</v>
      </c>
      <c r="O86" s="155" t="s">
        <v>10</v>
      </c>
      <c r="P86" s="156"/>
      <c r="Q86" s="157"/>
    </row>
    <row r="87" spans="1:19" ht="31.8" thickBot="1" x14ac:dyDescent="0.35">
      <c r="A87" s="20" t="s">
        <v>1</v>
      </c>
      <c r="B87" s="23" t="s">
        <v>278</v>
      </c>
      <c r="C87" s="21" t="s">
        <v>0</v>
      </c>
      <c r="D87" s="21" t="s">
        <v>2</v>
      </c>
      <c r="E87" s="53" t="s">
        <v>315</v>
      </c>
      <c r="F87" s="50" t="s">
        <v>314</v>
      </c>
      <c r="G87" s="57" t="s">
        <v>3</v>
      </c>
      <c r="H87" s="88" t="s">
        <v>321</v>
      </c>
      <c r="I87" s="80" t="s">
        <v>4</v>
      </c>
      <c r="J87" s="21" t="s">
        <v>299</v>
      </c>
      <c r="K87" s="21" t="s">
        <v>5</v>
      </c>
      <c r="L87" s="21" t="s">
        <v>6</v>
      </c>
      <c r="M87" s="21" t="s">
        <v>7</v>
      </c>
      <c r="N87" s="21" t="s">
        <v>8</v>
      </c>
      <c r="O87" s="21" t="s">
        <v>245</v>
      </c>
      <c r="P87" s="21" t="s">
        <v>246</v>
      </c>
      <c r="Q87" s="57" t="s">
        <v>247</v>
      </c>
      <c r="R87" s="74" t="s">
        <v>312</v>
      </c>
      <c r="S87" s="75" t="s">
        <v>317</v>
      </c>
    </row>
    <row r="88" spans="1:19" ht="18" x14ac:dyDescent="0.3">
      <c r="A88" s="6" t="s">
        <v>257</v>
      </c>
      <c r="B88" s="7" t="s">
        <v>281</v>
      </c>
      <c r="C88" s="8" t="s">
        <v>287</v>
      </c>
      <c r="D88" s="7" t="s">
        <v>136</v>
      </c>
      <c r="E88" s="77">
        <v>0.22500000000000001</v>
      </c>
      <c r="F88" s="68">
        <f t="shared" ref="F88:F115" si="33">+E88*IF(ISNUMBER(H88),H88,G88)</f>
        <v>226.8</v>
      </c>
      <c r="G88" s="9">
        <f t="shared" ref="G88:G115" si="34">IF((+I88-M88)&lt;0,0,+I88-M88)</f>
        <v>768</v>
      </c>
      <c r="H88" s="83">
        <v>1008</v>
      </c>
      <c r="I88" s="9">
        <f t="shared" ref="I88:I115" si="35">+$I$3*N88</f>
        <v>768</v>
      </c>
      <c r="J88" s="9">
        <f t="shared" ref="J88:J115" si="36">IFERROR(+M88/N88,"")</f>
        <v>0</v>
      </c>
      <c r="K88" s="3"/>
      <c r="L88" s="9">
        <v>0</v>
      </c>
      <c r="M88" s="9">
        <f t="shared" ref="M88:M115" si="37">+K88+L88</f>
        <v>0</v>
      </c>
      <c r="N88" s="9">
        <v>96</v>
      </c>
      <c r="O88" s="9">
        <v>96</v>
      </c>
      <c r="P88" s="9">
        <v>960</v>
      </c>
      <c r="Q88" s="10">
        <v>0</v>
      </c>
      <c r="R88" s="99" t="str">
        <f>IFERROR(+VLOOKUP(A88,Quiebres!A:Q,17,0),"")</f>
        <v/>
      </c>
      <c r="S88" s="69" t="s">
        <v>316</v>
      </c>
    </row>
    <row r="89" spans="1:19" ht="18" x14ac:dyDescent="0.3">
      <c r="A89" s="11" t="s">
        <v>19</v>
      </c>
      <c r="B89" s="2" t="s">
        <v>279</v>
      </c>
      <c r="C89" s="4" t="s">
        <v>287</v>
      </c>
      <c r="D89" s="2" t="s">
        <v>136</v>
      </c>
      <c r="E89" s="54">
        <v>0.22500000000000001</v>
      </c>
      <c r="F89" s="51">
        <f t="shared" si="33"/>
        <v>990</v>
      </c>
      <c r="G89" s="3">
        <f t="shared" si="34"/>
        <v>4436</v>
      </c>
      <c r="H89" s="81">
        <v>4400</v>
      </c>
      <c r="I89" s="3">
        <f t="shared" si="35"/>
        <v>6400</v>
      </c>
      <c r="J89" s="3">
        <f t="shared" si="36"/>
        <v>2.4550000000000001</v>
      </c>
      <c r="K89" s="3">
        <f>+IF(B89&lt;&gt;"CH",IFERROR(VLOOKUP(A89,'Stock Loeke'!A:G,7,),),)+IF(B89="CH",IFERROR(VLOOKUP(A89,'Stock Chef'!A:J,10,),0),0)</f>
        <v>-36</v>
      </c>
      <c r="L89" s="24">
        <v>2000</v>
      </c>
      <c r="M89" s="3">
        <f t="shared" si="37"/>
        <v>1964</v>
      </c>
      <c r="N89" s="3">
        <v>800</v>
      </c>
      <c r="O89" s="3">
        <v>108</v>
      </c>
      <c r="P89" s="3">
        <v>180</v>
      </c>
      <c r="Q89" s="12">
        <v>504</v>
      </c>
      <c r="R89" s="100"/>
      <c r="S89" s="62" t="s">
        <v>19</v>
      </c>
    </row>
    <row r="90" spans="1:19" ht="18" x14ac:dyDescent="0.3">
      <c r="A90" s="13" t="s">
        <v>13</v>
      </c>
      <c r="B90" s="2" t="s">
        <v>280</v>
      </c>
      <c r="C90" s="4" t="s">
        <v>287</v>
      </c>
      <c r="D90" s="2" t="s">
        <v>130</v>
      </c>
      <c r="E90" s="54">
        <v>0.38</v>
      </c>
      <c r="F90" s="51">
        <f t="shared" si="33"/>
        <v>9120</v>
      </c>
      <c r="G90" s="3">
        <f t="shared" si="34"/>
        <v>25132</v>
      </c>
      <c r="H90" s="81">
        <v>24000</v>
      </c>
      <c r="I90" s="3">
        <f t="shared" si="35"/>
        <v>39832</v>
      </c>
      <c r="J90" s="3">
        <f t="shared" si="36"/>
        <v>2.9524000803374171</v>
      </c>
      <c r="K90" s="3">
        <f>+IF(B90&lt;&gt;"CH",IFERROR(VLOOKUP(A90,'Stock Loeke'!A:G,7,),),)+IF(B90="CH",IFERROR(VLOOKUP(A90,'Stock Chef'!A:J,10,),0),0)</f>
        <v>5340</v>
      </c>
      <c r="L90" s="24">
        <v>9360</v>
      </c>
      <c r="M90" s="3">
        <f t="shared" si="37"/>
        <v>14700</v>
      </c>
      <c r="N90" s="102">
        <v>4979</v>
      </c>
      <c r="O90" s="3">
        <v>2280</v>
      </c>
      <c r="P90" s="3">
        <v>4260</v>
      </c>
      <c r="Q90" s="12">
        <v>2580</v>
      </c>
      <c r="R90" s="100" t="str">
        <f>IFERROR(+VLOOKUP(A90,Quiebres!A:Q,17,0),"")</f>
        <v>(se reenvaso para 702EN - esp. Walmart)</v>
      </c>
      <c r="S90" s="62" t="s">
        <v>318</v>
      </c>
    </row>
    <row r="91" spans="1:19" ht="18" x14ac:dyDescent="0.3">
      <c r="A91" s="11" t="s">
        <v>40</v>
      </c>
      <c r="B91" s="2" t="s">
        <v>279</v>
      </c>
      <c r="C91" s="4" t="s">
        <v>287</v>
      </c>
      <c r="D91" s="2" t="s">
        <v>297</v>
      </c>
      <c r="E91" s="55">
        <v>1.4</v>
      </c>
      <c r="F91" s="56">
        <f t="shared" si="33"/>
        <v>8400</v>
      </c>
      <c r="G91" s="3">
        <f t="shared" si="34"/>
        <v>6308</v>
      </c>
      <c r="H91" s="81">
        <v>6000</v>
      </c>
      <c r="I91" s="3">
        <f t="shared" si="35"/>
        <v>12616</v>
      </c>
      <c r="J91" s="3">
        <f t="shared" si="36"/>
        <v>4</v>
      </c>
      <c r="K91" s="3">
        <f>+IF(B91&lt;&gt;"CH",IFERROR(VLOOKUP(A91,'Stock Loeke'!A:G,7,),),)+IF(B91="CH",IFERROR(VLOOKUP(A91,'Stock Chef'!A:J,10,),0),0)</f>
        <v>2268</v>
      </c>
      <c r="L91" s="24">
        <v>4040</v>
      </c>
      <c r="M91" s="3">
        <f t="shared" si="37"/>
        <v>6308</v>
      </c>
      <c r="N91" s="102">
        <v>1577</v>
      </c>
      <c r="O91" s="3">
        <v>132</v>
      </c>
      <c r="P91" s="3">
        <v>756</v>
      </c>
      <c r="Q91" s="12">
        <v>1536</v>
      </c>
      <c r="R91" s="100"/>
      <c r="S91" s="62" t="s">
        <v>40</v>
      </c>
    </row>
    <row r="92" spans="1:19" ht="18" x14ac:dyDescent="0.3">
      <c r="A92" s="13" t="s">
        <v>296</v>
      </c>
      <c r="B92" s="2" t="s">
        <v>279</v>
      </c>
      <c r="C92" s="4" t="s">
        <v>287</v>
      </c>
      <c r="D92" s="2" t="s">
        <v>298</v>
      </c>
      <c r="E92" s="54">
        <v>1.1499999999999999</v>
      </c>
      <c r="F92" s="51">
        <f>+E92*IF(ISNUMBER(H92),H92,G92)</f>
        <v>0</v>
      </c>
      <c r="G92" s="3">
        <f>IF((+I92-M92)&lt;0,0,+I92-M92)</f>
        <v>0</v>
      </c>
      <c r="H92" s="81"/>
      <c r="I92" s="3"/>
      <c r="J92" s="3" t="str">
        <f>IFERROR(+M92/N92,"")</f>
        <v/>
      </c>
      <c r="K92" s="3">
        <f>+IF(B92&lt;&gt;"CH",IFERROR(VLOOKUP(A92,'Stock Loeke'!A:G,7,),),)+IF(B92="CH",IFERROR(VLOOKUP(A92,'Stock Chef'!A:J,10,),0),0)</f>
        <v>0</v>
      </c>
      <c r="L92" s="24"/>
      <c r="M92" s="3"/>
      <c r="N92" s="3"/>
      <c r="O92" s="3"/>
      <c r="P92" s="3"/>
      <c r="Q92" s="12"/>
      <c r="R92" s="100" t="str">
        <f>IFERROR(+VLOOKUP(A92,Quiebres!A:Q,17,0),"")</f>
        <v/>
      </c>
      <c r="S92" s="62" t="s">
        <v>318</v>
      </c>
    </row>
    <row r="93" spans="1:19" ht="18" x14ac:dyDescent="0.3">
      <c r="A93" s="11" t="s">
        <v>42</v>
      </c>
      <c r="B93" s="2" t="s">
        <v>279</v>
      </c>
      <c r="C93" s="4" t="s">
        <v>287</v>
      </c>
      <c r="D93" s="2" t="s">
        <v>159</v>
      </c>
      <c r="E93" s="54">
        <v>0.46500000000000002</v>
      </c>
      <c r="F93" s="51">
        <f t="shared" si="33"/>
        <v>6696</v>
      </c>
      <c r="G93" s="3">
        <f t="shared" si="34"/>
        <v>17196</v>
      </c>
      <c r="H93" s="81">
        <v>14400</v>
      </c>
      <c r="I93" s="3">
        <f t="shared" si="35"/>
        <v>40656</v>
      </c>
      <c r="J93" s="3">
        <f t="shared" si="36"/>
        <v>4.6162927981109796</v>
      </c>
      <c r="K93" s="3">
        <f>+IF(B93&lt;&gt;"CH",IFERROR(VLOOKUP(A93,'Stock Loeke'!A:G,7,),),)+IF(B93="CH",IFERROR(VLOOKUP(A93,'Stock Chef'!A:J,10,),0),0)</f>
        <v>2724</v>
      </c>
      <c r="L93" s="24">
        <v>20736</v>
      </c>
      <c r="M93" s="3">
        <f t="shared" si="37"/>
        <v>23460</v>
      </c>
      <c r="N93" s="102">
        <v>5082</v>
      </c>
      <c r="O93" s="3">
        <v>3492</v>
      </c>
      <c r="P93" s="3">
        <v>2208</v>
      </c>
      <c r="Q93" s="12">
        <v>7140</v>
      </c>
      <c r="R93" s="100"/>
      <c r="S93" s="62" t="s">
        <v>42</v>
      </c>
    </row>
    <row r="94" spans="1:19" ht="18" x14ac:dyDescent="0.3">
      <c r="A94" s="11" t="s">
        <v>46</v>
      </c>
      <c r="B94" s="2" t="s">
        <v>279</v>
      </c>
      <c r="C94" s="4" t="s">
        <v>287</v>
      </c>
      <c r="D94" s="2" t="s">
        <v>163</v>
      </c>
      <c r="E94" s="54">
        <v>1.29</v>
      </c>
      <c r="F94" s="51">
        <f t="shared" si="33"/>
        <v>1548</v>
      </c>
      <c r="G94" s="3">
        <f t="shared" si="34"/>
        <v>1224</v>
      </c>
      <c r="H94" s="81">
        <v>1200</v>
      </c>
      <c r="I94" s="3">
        <f t="shared" si="35"/>
        <v>4512</v>
      </c>
      <c r="J94" s="3">
        <f t="shared" si="36"/>
        <v>5.8297872340425529</v>
      </c>
      <c r="K94" s="3">
        <f>+IF(B94&lt;&gt;"CH",IFERROR(VLOOKUP(A94,'Stock Loeke'!A:G,7,),),)+IF(B94="CH",IFERROR(VLOOKUP(A94,'Stock Chef'!A:J,10,),0),0)</f>
        <v>3288</v>
      </c>
      <c r="L94" s="3">
        <v>0</v>
      </c>
      <c r="M94" s="3">
        <f t="shared" si="37"/>
        <v>3288</v>
      </c>
      <c r="N94" s="3">
        <v>564</v>
      </c>
      <c r="O94" s="3">
        <v>120</v>
      </c>
      <c r="P94" s="3">
        <v>384</v>
      </c>
      <c r="Q94" s="12">
        <v>672</v>
      </c>
      <c r="R94" s="100" t="str">
        <f>IFERROR(+VLOOKUP(A94,Quiebres!A:Q,17,0),"")</f>
        <v/>
      </c>
      <c r="S94" s="62" t="s">
        <v>46</v>
      </c>
    </row>
    <row r="95" spans="1:19" ht="18" x14ac:dyDescent="0.3">
      <c r="A95" s="11" t="s">
        <v>45</v>
      </c>
      <c r="B95" s="2" t="s">
        <v>279</v>
      </c>
      <c r="C95" s="4" t="s">
        <v>287</v>
      </c>
      <c r="D95" s="2" t="s">
        <v>162</v>
      </c>
      <c r="E95" s="54">
        <v>0.84</v>
      </c>
      <c r="F95" s="51">
        <f t="shared" si="33"/>
        <v>1008</v>
      </c>
      <c r="G95" s="3">
        <f t="shared" si="34"/>
        <v>744</v>
      </c>
      <c r="H95" s="81">
        <v>1200</v>
      </c>
      <c r="I95" s="3">
        <f t="shared" si="35"/>
        <v>4800</v>
      </c>
      <c r="J95" s="3">
        <f t="shared" si="36"/>
        <v>6.76</v>
      </c>
      <c r="K95" s="3">
        <f>+IF(B95&lt;&gt;"CH",IFERROR(VLOOKUP(A95,'Stock Loeke'!A:G,7,),),)+IF(B95="CH",IFERROR(VLOOKUP(A95,'Stock Chef'!A:J,10,),0),0)</f>
        <v>4056</v>
      </c>
      <c r="L95" s="3">
        <v>0</v>
      </c>
      <c r="M95" s="3">
        <f t="shared" si="37"/>
        <v>4056</v>
      </c>
      <c r="N95" s="3">
        <v>600</v>
      </c>
      <c r="O95" s="3">
        <v>336</v>
      </c>
      <c r="P95" s="3">
        <v>792</v>
      </c>
      <c r="Q95" s="12">
        <v>792</v>
      </c>
      <c r="R95" s="100" t="str">
        <f>IFERROR(+VLOOKUP(A95,Quiebres!A:Q,17,0),"")</f>
        <v/>
      </c>
      <c r="S95" s="62" t="s">
        <v>45</v>
      </c>
    </row>
    <row r="96" spans="1:19" ht="18" x14ac:dyDescent="0.3">
      <c r="A96" s="13" t="s">
        <v>14</v>
      </c>
      <c r="B96" s="2" t="s">
        <v>280</v>
      </c>
      <c r="C96" s="4" t="s">
        <v>287</v>
      </c>
      <c r="D96" s="2" t="s">
        <v>131</v>
      </c>
      <c r="E96" s="54">
        <v>0.46500000000000002</v>
      </c>
      <c r="F96" s="51">
        <f t="shared" si="33"/>
        <v>0</v>
      </c>
      <c r="G96" s="3">
        <f t="shared" si="34"/>
        <v>0</v>
      </c>
      <c r="H96" s="81"/>
      <c r="I96" s="3">
        <f t="shared" si="35"/>
        <v>16000</v>
      </c>
      <c r="J96" s="3">
        <f t="shared" si="36"/>
        <v>9.7739999999999991</v>
      </c>
      <c r="K96" s="3">
        <f>+IF(B96&lt;&gt;"CH",IFERROR(VLOOKUP(A96,'Stock Loeke'!A:G,7,),),)+IF(B96="CH",IFERROR(VLOOKUP(A96,'Stock Chef'!A:J,10,),0),0)</f>
        <v>19548</v>
      </c>
      <c r="L96" s="3">
        <v>0</v>
      </c>
      <c r="M96" s="3">
        <f t="shared" si="37"/>
        <v>19548</v>
      </c>
      <c r="N96" s="3">
        <v>2000</v>
      </c>
      <c r="O96" s="3">
        <v>948</v>
      </c>
      <c r="P96" s="3">
        <v>2508</v>
      </c>
      <c r="Q96" s="12">
        <v>1908</v>
      </c>
      <c r="R96" s="100" t="str">
        <f>IFERROR(+VLOOKUP(A96,Quiebres!A:Q,17,0),"")</f>
        <v/>
      </c>
      <c r="S96" s="62" t="s">
        <v>318</v>
      </c>
    </row>
    <row r="97" spans="1:19" ht="18" x14ac:dyDescent="0.3">
      <c r="A97" s="11" t="s">
        <v>43</v>
      </c>
      <c r="B97" s="2" t="s">
        <v>279</v>
      </c>
      <c r="C97" s="4" t="s">
        <v>287</v>
      </c>
      <c r="D97" s="2" t="s">
        <v>160</v>
      </c>
      <c r="E97" s="54">
        <v>0.92500000000000004</v>
      </c>
      <c r="F97" s="51">
        <f t="shared" si="33"/>
        <v>1665</v>
      </c>
      <c r="G97" s="3">
        <f t="shared" si="34"/>
        <v>1544</v>
      </c>
      <c r="H97" s="81">
        <v>1800</v>
      </c>
      <c r="I97" s="3">
        <f t="shared" si="35"/>
        <v>4688</v>
      </c>
      <c r="J97" s="3">
        <f t="shared" si="36"/>
        <v>5.3651877133105801</v>
      </c>
      <c r="K97" s="3">
        <f>+IF(B97&lt;&gt;"CH",IFERROR(VLOOKUP(A97,'Stock Loeke'!A:G,7,),),)+IF(B97="CH",IFERROR(VLOOKUP(A97,'Stock Chef'!A:J,10,),0),0)</f>
        <v>3144</v>
      </c>
      <c r="L97" s="3">
        <v>0</v>
      </c>
      <c r="M97" s="3">
        <f t="shared" si="37"/>
        <v>3144</v>
      </c>
      <c r="N97" s="102">
        <v>586</v>
      </c>
      <c r="O97" s="3">
        <v>36</v>
      </c>
      <c r="P97" s="3">
        <v>168</v>
      </c>
      <c r="Q97" s="12">
        <v>336</v>
      </c>
      <c r="R97" s="100" t="str">
        <f>IFERROR(+VLOOKUP(A97,Quiebres!A:Q,17,0),"")</f>
        <v/>
      </c>
      <c r="S97" s="62" t="s">
        <v>43</v>
      </c>
    </row>
    <row r="98" spans="1:19" ht="18" x14ac:dyDescent="0.3">
      <c r="A98" s="11" t="s">
        <v>39</v>
      </c>
      <c r="B98" s="2" t="s">
        <v>279</v>
      </c>
      <c r="C98" s="4" t="s">
        <v>287</v>
      </c>
      <c r="D98" s="2" t="s">
        <v>157</v>
      </c>
      <c r="E98" s="54">
        <v>0.11</v>
      </c>
      <c r="F98" s="51">
        <f t="shared" si="33"/>
        <v>0</v>
      </c>
      <c r="G98" s="3">
        <f t="shared" si="34"/>
        <v>0</v>
      </c>
      <c r="H98" s="81"/>
      <c r="I98" s="3">
        <f t="shared" si="35"/>
        <v>800</v>
      </c>
      <c r="J98" s="3">
        <f t="shared" si="36"/>
        <v>18</v>
      </c>
      <c r="K98" s="3">
        <f>+IF(B98&lt;&gt;"CH",IFERROR(VLOOKUP(A98,'Stock Loeke'!A:G,7,),),)+IF(B98="CH",IFERROR(VLOOKUP(A98,'Stock Chef'!A:J,10,),0),0)</f>
        <v>1800</v>
      </c>
      <c r="L98" s="3">
        <v>0</v>
      </c>
      <c r="M98" s="3">
        <f t="shared" si="37"/>
        <v>1800</v>
      </c>
      <c r="N98" s="3">
        <v>100</v>
      </c>
      <c r="O98" s="3">
        <v>0</v>
      </c>
      <c r="P98" s="3">
        <v>0</v>
      </c>
      <c r="Q98" s="12">
        <v>100</v>
      </c>
      <c r="R98" s="100" t="str">
        <f>IFERROR(+VLOOKUP(A98,Quiebres!A:Q,17,0),"")</f>
        <v/>
      </c>
      <c r="S98" s="62" t="s">
        <v>39</v>
      </c>
    </row>
    <row r="99" spans="1:19" ht="18" x14ac:dyDescent="0.3">
      <c r="A99" s="11" t="s">
        <v>44</v>
      </c>
      <c r="B99" s="2" t="s">
        <v>279</v>
      </c>
      <c r="C99" s="4" t="s">
        <v>287</v>
      </c>
      <c r="D99" s="2" t="s">
        <v>161</v>
      </c>
      <c r="E99" s="54">
        <v>0.64</v>
      </c>
      <c r="F99" s="51">
        <f t="shared" si="33"/>
        <v>0</v>
      </c>
      <c r="G99" s="3">
        <f t="shared" si="34"/>
        <v>0</v>
      </c>
      <c r="H99" s="81"/>
      <c r="I99" s="3">
        <f t="shared" si="35"/>
        <v>1664</v>
      </c>
      <c r="J99" s="3">
        <f t="shared" si="36"/>
        <v>21.634615384615383</v>
      </c>
      <c r="K99" s="3">
        <f>+IF(B99&lt;&gt;"CH",IFERROR(VLOOKUP(A99,'Stock Loeke'!A:G,7,),),)+IF(B99="CH",IFERROR(VLOOKUP(A99,'Stock Chef'!A:J,10,),0),0)</f>
        <v>4500</v>
      </c>
      <c r="L99" s="3">
        <v>0</v>
      </c>
      <c r="M99" s="3">
        <f t="shared" si="37"/>
        <v>4500</v>
      </c>
      <c r="N99" s="3">
        <v>208</v>
      </c>
      <c r="O99" s="3">
        <v>204</v>
      </c>
      <c r="P99" s="3">
        <v>252</v>
      </c>
      <c r="Q99" s="12">
        <v>576</v>
      </c>
      <c r="R99" s="100" t="str">
        <f>IFERROR(+VLOOKUP(A99,Quiebres!A:Q,17,0),"")</f>
        <v/>
      </c>
      <c r="S99" s="62" t="s">
        <v>44</v>
      </c>
    </row>
    <row r="100" spans="1:19" ht="18" x14ac:dyDescent="0.3">
      <c r="A100" s="11" t="s">
        <v>12</v>
      </c>
      <c r="B100" s="2" t="s">
        <v>279</v>
      </c>
      <c r="C100" s="4" t="s">
        <v>287</v>
      </c>
      <c r="D100" s="2" t="s">
        <v>129</v>
      </c>
      <c r="E100" s="54">
        <v>0.16200000000000001</v>
      </c>
      <c r="F100" s="51">
        <f t="shared" si="33"/>
        <v>0</v>
      </c>
      <c r="G100" s="3">
        <f>IF((+I100-M100)&lt;0,0,+I100-M100)</f>
        <v>0</v>
      </c>
      <c r="H100" s="81"/>
      <c r="I100" s="3">
        <f t="shared" si="35"/>
        <v>1152</v>
      </c>
      <c r="J100" s="3">
        <f t="shared" si="36"/>
        <v>32.083333333333336</v>
      </c>
      <c r="K100" s="3">
        <f>+IF(B100&lt;&gt;"CH",IFERROR(VLOOKUP(A100,'Stock Loeke'!A:G,7,),),)+IF(B100="CH",IFERROR(VLOOKUP(A100,'Stock Chef'!A:J,10,),0),0)</f>
        <v>4620</v>
      </c>
      <c r="L100" s="3">
        <v>0</v>
      </c>
      <c r="M100" s="3">
        <f t="shared" si="37"/>
        <v>4620</v>
      </c>
      <c r="N100" s="3">
        <v>144</v>
      </c>
      <c r="O100" s="3">
        <v>216</v>
      </c>
      <c r="P100" s="3">
        <v>24</v>
      </c>
      <c r="Q100" s="12">
        <v>72</v>
      </c>
      <c r="R100" s="100" t="str">
        <f>IFERROR(+VLOOKUP(A100,Quiebres!A:Q,17,0),"")</f>
        <v/>
      </c>
      <c r="S100" s="62" t="s">
        <v>12</v>
      </c>
    </row>
    <row r="101" spans="1:19" ht="18" x14ac:dyDescent="0.3">
      <c r="A101" s="13" t="s">
        <v>59</v>
      </c>
      <c r="B101" s="2" t="s">
        <v>279</v>
      </c>
      <c r="C101" s="4" t="s">
        <v>287</v>
      </c>
      <c r="D101" s="2" t="s">
        <v>176</v>
      </c>
      <c r="E101" s="54">
        <v>0.435</v>
      </c>
      <c r="F101" s="51">
        <f t="shared" si="33"/>
        <v>0</v>
      </c>
      <c r="G101" s="3">
        <f t="shared" si="34"/>
        <v>0</v>
      </c>
      <c r="H101" s="81"/>
      <c r="I101" s="3">
        <f t="shared" si="35"/>
        <v>0</v>
      </c>
      <c r="J101" s="3" t="str">
        <f t="shared" si="36"/>
        <v/>
      </c>
      <c r="K101" s="3">
        <f>+IF(B101&lt;&gt;"CH",IFERROR(VLOOKUP(A101,'Stock Loeke'!A:G,7,),),)+IF(B101="CH",IFERROR(VLOOKUP(A101,'Stock Chef'!A:J,10,),0),0)</f>
        <v>0</v>
      </c>
      <c r="L101" s="24">
        <v>1800</v>
      </c>
      <c r="M101" s="3">
        <f t="shared" si="37"/>
        <v>1800</v>
      </c>
      <c r="N101" s="3">
        <v>0</v>
      </c>
      <c r="O101" s="3">
        <v>0</v>
      </c>
      <c r="P101" s="3">
        <v>0</v>
      </c>
      <c r="Q101" s="12">
        <v>0</v>
      </c>
      <c r="R101" s="100" t="str">
        <f>IFERROR(+VLOOKUP(A101,Quiebres!A:Q,17,0),"")</f>
        <v/>
      </c>
      <c r="S101" s="62" t="s">
        <v>318</v>
      </c>
    </row>
    <row r="102" spans="1:19" ht="18" x14ac:dyDescent="0.3">
      <c r="A102" s="13" t="s">
        <v>16</v>
      </c>
      <c r="B102" s="2" t="s">
        <v>280</v>
      </c>
      <c r="C102" s="4" t="s">
        <v>287</v>
      </c>
      <c r="D102" s="2" t="s">
        <v>133</v>
      </c>
      <c r="E102" s="54">
        <v>0.84</v>
      </c>
      <c r="F102" s="51">
        <f t="shared" si="33"/>
        <v>0</v>
      </c>
      <c r="G102" s="3">
        <f t="shared" si="34"/>
        <v>0</v>
      </c>
      <c r="H102" s="81"/>
      <c r="I102" s="3">
        <f t="shared" si="35"/>
        <v>0</v>
      </c>
      <c r="J102" s="3" t="str">
        <f t="shared" si="36"/>
        <v/>
      </c>
      <c r="K102" s="3">
        <f>+IF(B102&lt;&gt;"CH",IFERROR(VLOOKUP(A102,'Stock Loeke'!A:G,7,),),)+IF(B102="CH",IFERROR(VLOOKUP(A102,'Stock Chef'!A:J,10,),0),0)</f>
        <v>2880</v>
      </c>
      <c r="L102" s="3">
        <v>0</v>
      </c>
      <c r="M102" s="3">
        <f t="shared" si="37"/>
        <v>2880</v>
      </c>
      <c r="N102" s="3">
        <v>0</v>
      </c>
      <c r="O102" s="3">
        <v>0</v>
      </c>
      <c r="P102" s="3">
        <v>0</v>
      </c>
      <c r="Q102" s="12">
        <v>0</v>
      </c>
      <c r="R102" s="100" t="str">
        <f>IFERROR(+VLOOKUP(A102,Quiebres!A:Q,17,0),"")</f>
        <v/>
      </c>
      <c r="S102" s="62" t="s">
        <v>318</v>
      </c>
    </row>
    <row r="103" spans="1:19" ht="18" x14ac:dyDescent="0.3">
      <c r="A103" s="26">
        <v>1000900</v>
      </c>
      <c r="B103" s="27" t="s">
        <v>279</v>
      </c>
      <c r="C103" s="4" t="s">
        <v>287</v>
      </c>
      <c r="D103" s="2" t="s">
        <v>293</v>
      </c>
      <c r="E103" s="54">
        <v>6.7000000000000004E-2</v>
      </c>
      <c r="F103" s="51">
        <f t="shared" si="33"/>
        <v>1340</v>
      </c>
      <c r="G103" s="3">
        <f t="shared" si="34"/>
        <v>0</v>
      </c>
      <c r="H103" s="81">
        <v>20000</v>
      </c>
      <c r="I103" s="3">
        <f t="shared" si="35"/>
        <v>104960</v>
      </c>
      <c r="J103" s="3">
        <f t="shared" si="36"/>
        <v>11.280487804878049</v>
      </c>
      <c r="K103" s="3">
        <f>56000+12000</f>
        <v>68000</v>
      </c>
      <c r="L103" s="24">
        <v>80000</v>
      </c>
      <c r="M103" s="3">
        <f t="shared" si="37"/>
        <v>148000</v>
      </c>
      <c r="N103" s="3">
        <f>3100+2200+3600+1800+1000+120+750+550</f>
        <v>13120</v>
      </c>
      <c r="O103" s="3"/>
      <c r="P103" s="3"/>
      <c r="Q103" s="12"/>
      <c r="R103" s="100" t="s">
        <v>328</v>
      </c>
      <c r="S103" s="62" t="s">
        <v>318</v>
      </c>
    </row>
    <row r="104" spans="1:19" ht="18.600000000000001" thickBot="1" x14ac:dyDescent="0.35">
      <c r="A104" s="28" t="s">
        <v>294</v>
      </c>
      <c r="B104" s="29" t="s">
        <v>279</v>
      </c>
      <c r="C104" s="16" t="s">
        <v>287</v>
      </c>
      <c r="D104" s="15" t="s">
        <v>295</v>
      </c>
      <c r="E104" s="78">
        <v>0.57199999999999995</v>
      </c>
      <c r="F104" s="70">
        <f t="shared" si="33"/>
        <v>6863.9999999999991</v>
      </c>
      <c r="G104" s="17">
        <f t="shared" si="34"/>
        <v>7776</v>
      </c>
      <c r="H104" s="82">
        <v>12000</v>
      </c>
      <c r="I104" s="102">
        <f t="shared" si="35"/>
        <v>22176</v>
      </c>
      <c r="J104" s="3">
        <f t="shared" si="36"/>
        <v>5.1948051948051948</v>
      </c>
      <c r="K104" s="17">
        <v>0</v>
      </c>
      <c r="L104" s="30">
        <v>14400</v>
      </c>
      <c r="M104" s="3">
        <f t="shared" si="37"/>
        <v>14400</v>
      </c>
      <c r="N104" s="17">
        <f>372+2400</f>
        <v>2772</v>
      </c>
      <c r="O104" s="17"/>
      <c r="P104" s="17"/>
      <c r="Q104" s="18"/>
      <c r="R104" s="101" t="str">
        <f>IFERROR(+VLOOKUP(A104,Quiebres!A:Q,17,0),"")</f>
        <v/>
      </c>
      <c r="S104" s="64" t="s">
        <v>318</v>
      </c>
    </row>
    <row r="105" spans="1:19" ht="18" x14ac:dyDescent="0.3">
      <c r="A105" s="11" t="s">
        <v>54</v>
      </c>
      <c r="B105" s="2" t="s">
        <v>279</v>
      </c>
      <c r="C105" s="4" t="s">
        <v>284</v>
      </c>
      <c r="D105" s="149" t="s">
        <v>171</v>
      </c>
      <c r="E105" s="150">
        <v>0.74199999999999999</v>
      </c>
      <c r="F105" s="51">
        <f t="shared" si="33"/>
        <v>3710</v>
      </c>
      <c r="G105" s="59">
        <f t="shared" si="34"/>
        <v>5556</v>
      </c>
      <c r="H105" s="81">
        <v>5000</v>
      </c>
      <c r="I105" s="85">
        <f t="shared" si="35"/>
        <v>9600</v>
      </c>
      <c r="J105" s="3">
        <f t="shared" si="36"/>
        <v>3.37</v>
      </c>
      <c r="K105" s="3">
        <f>+IF(B105&lt;&gt;"CH",IFERROR(VLOOKUP(A105,'Stock Loeke'!A:G,7,),),)+IF(B105="CH",IFERROR(VLOOKUP(A105,'Stock Chef'!A:J,10,),0),0)</f>
        <v>4044</v>
      </c>
      <c r="L105" s="3">
        <v>0</v>
      </c>
      <c r="M105" s="3">
        <f t="shared" si="37"/>
        <v>4044</v>
      </c>
      <c r="N105" s="3">
        <v>1200</v>
      </c>
      <c r="O105" s="3">
        <v>516</v>
      </c>
      <c r="P105" s="3">
        <v>1140</v>
      </c>
      <c r="Q105" s="59">
        <v>1452</v>
      </c>
      <c r="R105" s="11" t="str">
        <f>IFERROR(+VLOOKUP(A105,Quiebres!A:Q,17,0),"")</f>
        <v>mayor consumo (megashop/Jumbo)</v>
      </c>
      <c r="S105" s="62" t="s">
        <v>54</v>
      </c>
    </row>
    <row r="106" spans="1:19" ht="18" x14ac:dyDescent="0.3">
      <c r="A106" s="11" t="s">
        <v>77</v>
      </c>
      <c r="B106" s="2" t="s">
        <v>279</v>
      </c>
      <c r="C106" s="4" t="s">
        <v>284</v>
      </c>
      <c r="D106" s="149" t="s">
        <v>194</v>
      </c>
      <c r="E106" s="151">
        <v>0.49299999999999999</v>
      </c>
      <c r="F106" s="56">
        <f t="shared" si="33"/>
        <v>591.6</v>
      </c>
      <c r="G106" s="59">
        <f t="shared" si="34"/>
        <v>1776</v>
      </c>
      <c r="H106" s="81">
        <v>1200</v>
      </c>
      <c r="I106" s="85">
        <f t="shared" si="35"/>
        <v>4800</v>
      </c>
      <c r="J106" s="3">
        <f t="shared" si="36"/>
        <v>5.04</v>
      </c>
      <c r="K106" s="3">
        <f>+IF(B106&lt;&gt;"CH",IFERROR(VLOOKUP(A106,'Stock Loeke'!A:G,7,),),)+IF(B106="CH",IFERROR(VLOOKUP(A106,'Stock Chef'!A:J,10,),0),0)</f>
        <v>3024</v>
      </c>
      <c r="L106" s="3">
        <v>0</v>
      </c>
      <c r="M106" s="3">
        <f t="shared" si="37"/>
        <v>3024</v>
      </c>
      <c r="N106" s="3">
        <v>600</v>
      </c>
      <c r="O106" s="3">
        <v>396</v>
      </c>
      <c r="P106" s="3">
        <v>516</v>
      </c>
      <c r="Q106" s="59">
        <v>1248</v>
      </c>
      <c r="R106" s="11"/>
      <c r="S106" s="62" t="s">
        <v>77</v>
      </c>
    </row>
    <row r="107" spans="1:19" ht="18" x14ac:dyDescent="0.3">
      <c r="A107" s="11" t="s">
        <v>71</v>
      </c>
      <c r="B107" s="2" t="s">
        <v>279</v>
      </c>
      <c r="C107" s="4" t="s">
        <v>284</v>
      </c>
      <c r="D107" s="149" t="s">
        <v>188</v>
      </c>
      <c r="E107" s="150">
        <v>0.61199999999999999</v>
      </c>
      <c r="F107" s="51">
        <f t="shared" si="33"/>
        <v>0</v>
      </c>
      <c r="G107" s="59">
        <f t="shared" si="34"/>
        <v>0</v>
      </c>
      <c r="H107" s="81"/>
      <c r="I107" s="85">
        <f t="shared" si="35"/>
        <v>4800</v>
      </c>
      <c r="J107" s="3">
        <f t="shared" si="36"/>
        <v>8.64</v>
      </c>
      <c r="K107" s="3">
        <f>+IF(B107&lt;&gt;"CH",IFERROR(VLOOKUP(A107,'Stock Loeke'!A:G,7,),),)+IF(B107="CH",IFERROR(VLOOKUP(A107,'Stock Chef'!A:J,10,),0),0)</f>
        <v>5184</v>
      </c>
      <c r="L107" s="3">
        <v>0</v>
      </c>
      <c r="M107" s="3">
        <f t="shared" si="37"/>
        <v>5184</v>
      </c>
      <c r="N107" s="3">
        <v>600</v>
      </c>
      <c r="O107" s="3">
        <v>96</v>
      </c>
      <c r="P107" s="3">
        <v>504</v>
      </c>
      <c r="Q107" s="59">
        <v>624</v>
      </c>
      <c r="R107" s="11" t="str">
        <f>IFERROR(+VLOOKUP(A107,Quiebres!A:Q,17,0),"")</f>
        <v/>
      </c>
      <c r="S107" s="62" t="s">
        <v>71</v>
      </c>
    </row>
    <row r="108" spans="1:19" ht="18" customHeight="1" x14ac:dyDescent="0.3">
      <c r="A108" s="13" t="s">
        <v>72</v>
      </c>
      <c r="B108" s="2" t="s">
        <v>279</v>
      </c>
      <c r="C108" s="4" t="s">
        <v>284</v>
      </c>
      <c r="D108" s="149" t="s">
        <v>189</v>
      </c>
      <c r="E108" s="150">
        <v>0.68500000000000005</v>
      </c>
      <c r="F108" s="51">
        <f t="shared" si="33"/>
        <v>0</v>
      </c>
      <c r="G108" s="59">
        <f t="shared" si="34"/>
        <v>0</v>
      </c>
      <c r="H108" s="81"/>
      <c r="I108" s="85">
        <f t="shared" si="35"/>
        <v>0</v>
      </c>
      <c r="J108" s="3" t="str">
        <f t="shared" si="36"/>
        <v/>
      </c>
      <c r="K108" s="3">
        <f>+IF(B108&lt;&gt;"CH",IFERROR(VLOOKUP(A108,'Stock Loeke'!A:G,7,),),)+IF(B108="CH",IFERROR(VLOOKUP(A108,'Stock Chef'!A:J,10,),0),0)</f>
        <v>0</v>
      </c>
      <c r="L108" s="3">
        <v>0</v>
      </c>
      <c r="M108" s="3">
        <f t="shared" si="37"/>
        <v>0</v>
      </c>
      <c r="N108" s="3">
        <v>0</v>
      </c>
      <c r="O108" s="3">
        <v>0</v>
      </c>
      <c r="P108" s="3">
        <v>0</v>
      </c>
      <c r="Q108" s="59">
        <v>0</v>
      </c>
      <c r="R108" s="11" t="str">
        <f>IFERROR(+VLOOKUP(A108,Quiebres!A:Q,17,0),"")</f>
        <v/>
      </c>
      <c r="S108" s="62" t="s">
        <v>318</v>
      </c>
    </row>
    <row r="109" spans="1:19" ht="18" x14ac:dyDescent="0.3">
      <c r="A109" s="11" t="s">
        <v>70</v>
      </c>
      <c r="B109" s="2" t="s">
        <v>279</v>
      </c>
      <c r="C109" s="4" t="s">
        <v>284</v>
      </c>
      <c r="D109" s="149" t="s">
        <v>187</v>
      </c>
      <c r="E109" s="150">
        <v>0.91200000000000003</v>
      </c>
      <c r="F109" s="51">
        <f t="shared" si="33"/>
        <v>0</v>
      </c>
      <c r="G109" s="59">
        <f t="shared" si="34"/>
        <v>0</v>
      </c>
      <c r="H109" s="81"/>
      <c r="I109" s="85">
        <f t="shared" si="35"/>
        <v>2880</v>
      </c>
      <c r="J109" s="3">
        <f t="shared" si="36"/>
        <v>13.133333333333333</v>
      </c>
      <c r="K109" s="3">
        <f>+IF(B109&lt;&gt;"CH",IFERROR(VLOOKUP(A109,'Stock Loeke'!A:G,7,),),)+IF(B109="CH",IFERROR(VLOOKUP(A109,'Stock Chef'!A:J,10,),0),0)</f>
        <v>4728</v>
      </c>
      <c r="L109" s="3">
        <v>0</v>
      </c>
      <c r="M109" s="3">
        <f t="shared" si="37"/>
        <v>4728</v>
      </c>
      <c r="N109" s="3">
        <v>360</v>
      </c>
      <c r="O109" s="3">
        <v>312</v>
      </c>
      <c r="P109" s="3">
        <v>420</v>
      </c>
      <c r="Q109" s="59">
        <v>792</v>
      </c>
      <c r="R109" s="11" t="str">
        <f>IFERROR(+VLOOKUP(A109,Quiebres!A:Q,17,0),"")</f>
        <v/>
      </c>
      <c r="S109" s="62" t="s">
        <v>70</v>
      </c>
    </row>
    <row r="110" spans="1:19" ht="18" x14ac:dyDescent="0.3">
      <c r="A110" s="11" t="s">
        <v>68</v>
      </c>
      <c r="B110" s="2" t="s">
        <v>279</v>
      </c>
      <c r="C110" s="4" t="s">
        <v>284</v>
      </c>
      <c r="D110" s="149" t="s">
        <v>185</v>
      </c>
      <c r="E110" s="150">
        <v>0.57799999999999996</v>
      </c>
      <c r="F110" s="51">
        <f t="shared" si="33"/>
        <v>693.59999999999991</v>
      </c>
      <c r="G110" s="59">
        <f t="shared" si="34"/>
        <v>1176</v>
      </c>
      <c r="H110" s="81">
        <v>1200</v>
      </c>
      <c r="I110" s="85">
        <f t="shared" si="35"/>
        <v>2304</v>
      </c>
      <c r="J110" s="3">
        <f t="shared" si="36"/>
        <v>3.9166666666666665</v>
      </c>
      <c r="K110" s="3">
        <f>+IF(B110&lt;&gt;"CH",IFERROR(VLOOKUP(A110,'Stock Loeke'!A:G,7,),),)+IF(B110="CH",IFERROR(VLOOKUP(A110,'Stock Chef'!A:J,10,),0),0)</f>
        <v>1128</v>
      </c>
      <c r="L110" s="3">
        <v>0</v>
      </c>
      <c r="M110" s="3">
        <f t="shared" si="37"/>
        <v>1128</v>
      </c>
      <c r="N110" s="3">
        <v>288</v>
      </c>
      <c r="O110" s="3">
        <v>288</v>
      </c>
      <c r="P110" s="3">
        <v>216</v>
      </c>
      <c r="Q110" s="59">
        <v>324</v>
      </c>
      <c r="R110" s="11"/>
      <c r="S110" s="62" t="s">
        <v>68</v>
      </c>
    </row>
    <row r="111" spans="1:19" ht="18" x14ac:dyDescent="0.3">
      <c r="A111" s="11" t="s">
        <v>75</v>
      </c>
      <c r="B111" s="2" t="s">
        <v>279</v>
      </c>
      <c r="C111" s="4" t="s">
        <v>284</v>
      </c>
      <c r="D111" s="149" t="s">
        <v>192</v>
      </c>
      <c r="E111" s="150">
        <v>0.45200000000000001</v>
      </c>
      <c r="F111" s="51">
        <f t="shared" si="33"/>
        <v>1627.2</v>
      </c>
      <c r="G111" s="59">
        <f t="shared" si="34"/>
        <v>3096</v>
      </c>
      <c r="H111" s="81">
        <v>3600</v>
      </c>
      <c r="I111" s="85">
        <f t="shared" si="35"/>
        <v>14976</v>
      </c>
      <c r="J111" s="3">
        <f t="shared" si="36"/>
        <v>6.3461538461538458</v>
      </c>
      <c r="K111" s="3">
        <f>+IF(B111&lt;&gt;"CH",IFERROR(VLOOKUP(A111,'Stock Loeke'!A:G,7,),),)+IF(B111="CH",IFERROR(VLOOKUP(A111,'Stock Chef'!A:J,10,),0),0)</f>
        <v>11880</v>
      </c>
      <c r="L111" s="3">
        <v>0</v>
      </c>
      <c r="M111" s="3">
        <f t="shared" si="37"/>
        <v>11880</v>
      </c>
      <c r="N111" s="3">
        <v>1872</v>
      </c>
      <c r="O111" s="3">
        <v>804</v>
      </c>
      <c r="P111" s="3">
        <v>1920</v>
      </c>
      <c r="Q111" s="59">
        <v>2196</v>
      </c>
      <c r="R111" s="11" t="str">
        <f>IFERROR(+VLOOKUP(A111,Quiebres!A:Q,17,0),"")</f>
        <v/>
      </c>
      <c r="S111" s="62" t="s">
        <v>75</v>
      </c>
    </row>
    <row r="112" spans="1:19" ht="18" x14ac:dyDescent="0.3">
      <c r="A112" s="11" t="s">
        <v>76</v>
      </c>
      <c r="B112" s="2" t="s">
        <v>279</v>
      </c>
      <c r="C112" s="4" t="s">
        <v>284</v>
      </c>
      <c r="D112" s="149" t="s">
        <v>193</v>
      </c>
      <c r="E112" s="150">
        <v>0.55300000000000005</v>
      </c>
      <c r="F112" s="51">
        <f t="shared" si="33"/>
        <v>663.6</v>
      </c>
      <c r="G112" s="59">
        <f t="shared" si="34"/>
        <v>888</v>
      </c>
      <c r="H112" s="81">
        <v>1200</v>
      </c>
      <c r="I112" s="85">
        <f t="shared" si="35"/>
        <v>3360</v>
      </c>
      <c r="J112" s="3">
        <f t="shared" si="36"/>
        <v>5.8857142857142861</v>
      </c>
      <c r="K112" s="3">
        <f>+IF(B112&lt;&gt;"CH",IFERROR(VLOOKUP(A112,'Stock Loeke'!A:G,7,),),)+IF(B112="CH",IFERROR(VLOOKUP(A112,'Stock Chef'!A:J,10,),0),0)</f>
        <v>2472</v>
      </c>
      <c r="L112" s="3">
        <v>0</v>
      </c>
      <c r="M112" s="3">
        <f t="shared" si="37"/>
        <v>2472</v>
      </c>
      <c r="N112" s="3">
        <v>420</v>
      </c>
      <c r="O112" s="3">
        <v>96</v>
      </c>
      <c r="P112" s="3">
        <v>252</v>
      </c>
      <c r="Q112" s="59">
        <v>420</v>
      </c>
      <c r="R112" s="11"/>
      <c r="S112" s="62" t="s">
        <v>76</v>
      </c>
    </row>
    <row r="113" spans="1:19" ht="18" x14ac:dyDescent="0.3">
      <c r="A113" s="11" t="s">
        <v>21</v>
      </c>
      <c r="B113" s="2" t="s">
        <v>279</v>
      </c>
      <c r="C113" s="4" t="s">
        <v>282</v>
      </c>
      <c r="D113" s="149" t="s">
        <v>138</v>
      </c>
      <c r="E113" s="150">
        <v>0.79300000000000004</v>
      </c>
      <c r="F113" s="51">
        <f t="shared" si="33"/>
        <v>2654.9639999999999</v>
      </c>
      <c r="G113" s="3">
        <f t="shared" si="34"/>
        <v>3348</v>
      </c>
      <c r="H113" s="81"/>
      <c r="I113" s="3">
        <f t="shared" si="35"/>
        <v>3744</v>
      </c>
      <c r="J113" s="3">
        <f t="shared" si="36"/>
        <v>0.84615384615384615</v>
      </c>
      <c r="K113" s="3">
        <f>+IF(B113&lt;&gt;"CH",IFERROR(VLOOKUP(A113,'Stock Loeke'!A:G,7,),),)+IF(B113="CH",IFERROR(VLOOKUP(A113,'Stock Chef'!A:J,10,),0),0)</f>
        <v>396</v>
      </c>
      <c r="L113" s="3">
        <v>0</v>
      </c>
      <c r="M113" s="3">
        <f t="shared" si="37"/>
        <v>396</v>
      </c>
      <c r="N113" s="3">
        <v>468</v>
      </c>
      <c r="O113" s="3">
        <v>336</v>
      </c>
      <c r="P113" s="3">
        <v>468</v>
      </c>
      <c r="Q113" s="12">
        <v>432</v>
      </c>
      <c r="R113" s="100" t="str">
        <f>IFERROR(+VLOOKUP(A113,Quiebres!A:Q,17,0),"")</f>
        <v>me parece que dijiste que no te gustaba</v>
      </c>
      <c r="S113" s="62" t="s">
        <v>21</v>
      </c>
    </row>
    <row r="114" spans="1:19" ht="18" x14ac:dyDescent="0.3">
      <c r="A114" s="11" t="s">
        <v>22</v>
      </c>
      <c r="B114" s="2" t="s">
        <v>279</v>
      </c>
      <c r="C114" s="4" t="s">
        <v>282</v>
      </c>
      <c r="D114" s="149" t="s">
        <v>139</v>
      </c>
      <c r="E114" s="150">
        <v>0.79600000000000004</v>
      </c>
      <c r="F114" s="51">
        <f t="shared" si="33"/>
        <v>248.352</v>
      </c>
      <c r="G114" s="3">
        <f t="shared" si="34"/>
        <v>312</v>
      </c>
      <c r="H114" s="81"/>
      <c r="I114" s="3">
        <f t="shared" si="35"/>
        <v>3840</v>
      </c>
      <c r="J114" s="3">
        <f t="shared" si="36"/>
        <v>7.35</v>
      </c>
      <c r="K114" s="3">
        <f>+IF(B114&lt;&gt;"CH",IFERROR(VLOOKUP(A114,'Stock Loeke'!A:G,7,),),)+IF(B114="CH",IFERROR(VLOOKUP(A114,'Stock Chef'!A:J,10,),0),0)</f>
        <v>-72</v>
      </c>
      <c r="L114" s="24">
        <v>3600</v>
      </c>
      <c r="M114" s="3">
        <f t="shared" si="37"/>
        <v>3528</v>
      </c>
      <c r="N114" s="3">
        <v>480</v>
      </c>
      <c r="O114" s="3">
        <v>0</v>
      </c>
      <c r="P114" s="3">
        <v>744</v>
      </c>
      <c r="Q114" s="12">
        <v>1200</v>
      </c>
      <c r="R114" s="100" t="str">
        <f>IFERROR(+VLOOKUP(A114,Quiebres!A:Q,17,0),"")</f>
        <v/>
      </c>
      <c r="S114" s="62" t="s">
        <v>22</v>
      </c>
    </row>
    <row r="115" spans="1:19" ht="18" x14ac:dyDescent="0.3">
      <c r="A115" s="11" t="s">
        <v>27</v>
      </c>
      <c r="B115" s="2" t="s">
        <v>279</v>
      </c>
      <c r="C115" s="4" t="s">
        <v>282</v>
      </c>
      <c r="D115" s="149" t="s">
        <v>144</v>
      </c>
      <c r="E115" s="150">
        <v>0.73699999999999999</v>
      </c>
      <c r="F115" s="51">
        <f t="shared" si="33"/>
        <v>0</v>
      </c>
      <c r="G115" s="3">
        <f t="shared" si="34"/>
        <v>0</v>
      </c>
      <c r="H115" s="81"/>
      <c r="I115" s="3">
        <f t="shared" si="35"/>
        <v>960</v>
      </c>
      <c r="J115" s="3">
        <f t="shared" si="36"/>
        <v>10.7</v>
      </c>
      <c r="K115" s="3">
        <f>+IF(B115&lt;&gt;"CH",IFERROR(VLOOKUP(A115,'Stock Loeke'!A:G,7,),),)+IF(B115="CH",IFERROR(VLOOKUP(A115,'Stock Chef'!A:J,10,),0),0)</f>
        <v>84</v>
      </c>
      <c r="L115" s="24">
        <v>1200</v>
      </c>
      <c r="M115" s="3">
        <f t="shared" si="37"/>
        <v>1284</v>
      </c>
      <c r="N115" s="3">
        <v>120</v>
      </c>
      <c r="O115" s="3">
        <v>84</v>
      </c>
      <c r="P115" s="3">
        <v>72</v>
      </c>
      <c r="Q115" s="12">
        <v>144</v>
      </c>
      <c r="R115" s="100" t="str">
        <f>IFERROR(+VLOOKUP(A115,Quiebres!A:Q,17,0),"")</f>
        <v/>
      </c>
      <c r="S115" s="62" t="s">
        <v>27</v>
      </c>
    </row>
    <row r="116" spans="1:19" ht="18" x14ac:dyDescent="0.3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</row>
    <row r="117" spans="1:19" ht="18" x14ac:dyDescent="0.3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</row>
    <row r="118" spans="1:19" ht="15" thickBot="1" x14ac:dyDescent="0.35">
      <c r="C118"/>
      <c r="E118"/>
      <c r="F118"/>
    </row>
    <row r="119" spans="1:19" ht="16.2" thickBot="1" x14ac:dyDescent="0.35">
      <c r="C119"/>
      <c r="E119" s="66" t="s">
        <v>282</v>
      </c>
      <c r="F119" s="76">
        <f>+SUM(F121:F137)</f>
        <v>5774.16</v>
      </c>
      <c r="O119" s="155" t="s">
        <v>10</v>
      </c>
      <c r="P119" s="156"/>
      <c r="Q119" s="157"/>
    </row>
    <row r="120" spans="1:19" ht="31.8" thickBot="1" x14ac:dyDescent="0.35">
      <c r="A120" s="20" t="s">
        <v>1</v>
      </c>
      <c r="B120" s="23" t="s">
        <v>278</v>
      </c>
      <c r="C120" s="21" t="s">
        <v>0</v>
      </c>
      <c r="D120" s="21" t="s">
        <v>2</v>
      </c>
      <c r="E120" s="53" t="s">
        <v>315</v>
      </c>
      <c r="F120" s="50" t="s">
        <v>314</v>
      </c>
      <c r="G120" s="57" t="s">
        <v>3</v>
      </c>
      <c r="H120" s="88" t="s">
        <v>321</v>
      </c>
      <c r="I120" s="80" t="s">
        <v>4</v>
      </c>
      <c r="J120" s="21" t="s">
        <v>299</v>
      </c>
      <c r="K120" s="21" t="s">
        <v>5</v>
      </c>
      <c r="L120" s="21" t="s">
        <v>6</v>
      </c>
      <c r="M120" s="21" t="s">
        <v>7</v>
      </c>
      <c r="N120" s="21" t="s">
        <v>8</v>
      </c>
      <c r="O120" s="21" t="s">
        <v>245</v>
      </c>
      <c r="P120" s="21" t="s">
        <v>246</v>
      </c>
      <c r="Q120" s="57" t="s">
        <v>247</v>
      </c>
      <c r="R120" s="74" t="s">
        <v>312</v>
      </c>
      <c r="S120" s="75" t="s">
        <v>317</v>
      </c>
    </row>
    <row r="121" spans="1:19" ht="18" x14ac:dyDescent="0.3">
      <c r="A121" s="6" t="s">
        <v>258</v>
      </c>
      <c r="B121" s="7" t="s">
        <v>281</v>
      </c>
      <c r="C121" s="8" t="s">
        <v>282</v>
      </c>
      <c r="D121" s="7" t="s">
        <v>274</v>
      </c>
      <c r="E121" s="68">
        <v>0.48</v>
      </c>
      <c r="F121" s="68">
        <f t="shared" ref="F121:F137" si="38">+E121*IF(ISNUMBER(H121),H121,G121)</f>
        <v>483.84</v>
      </c>
      <c r="G121" s="9">
        <f t="shared" ref="G121:G137" si="39">IF((+I121-M121)&lt;0,0,+I121-M121)</f>
        <v>1008</v>
      </c>
      <c r="H121" s="83"/>
      <c r="I121" s="9">
        <f t="shared" ref="I121:I137" si="40">+$I$3*N121</f>
        <v>960</v>
      </c>
      <c r="J121" s="9">
        <f t="shared" ref="J121:J137" si="41">IFERROR(+M121/N121,"")</f>
        <v>-0.4</v>
      </c>
      <c r="K121" s="3">
        <f>+IF(B121&lt;&gt;"CH",IFERROR(VLOOKUP(A121,'Stock Loeke'!A:G,7,),),)+IF(B121="CH",IFERROR(VLOOKUP(A121,'Stock Chef'!A:J,10,),0),0)</f>
        <v>-48</v>
      </c>
      <c r="L121" s="9">
        <v>0</v>
      </c>
      <c r="M121" s="9">
        <f t="shared" ref="M121:M137" si="42">+K121+L121</f>
        <v>-48</v>
      </c>
      <c r="N121" s="9">
        <v>120</v>
      </c>
      <c r="O121" s="9">
        <v>12</v>
      </c>
      <c r="P121" s="9">
        <v>0</v>
      </c>
      <c r="Q121" s="10">
        <v>0</v>
      </c>
      <c r="R121" s="99" t="str">
        <f>IFERROR(+VLOOKUP(A121,Quiebres!A:Q,17,0),"")</f>
        <v>lo lleva Dorinka (se tomo 865E+ED)</v>
      </c>
      <c r="S121" s="79" t="s">
        <v>259</v>
      </c>
    </row>
    <row r="122" spans="1:19" ht="18" x14ac:dyDescent="0.3">
      <c r="A122" s="13" t="s">
        <v>26</v>
      </c>
      <c r="B122" s="2" t="s">
        <v>279</v>
      </c>
      <c r="C122" s="4" t="s">
        <v>282</v>
      </c>
      <c r="D122" s="2" t="s">
        <v>143</v>
      </c>
      <c r="E122" s="51">
        <v>1.75</v>
      </c>
      <c r="F122" s="51">
        <f t="shared" si="38"/>
        <v>672</v>
      </c>
      <c r="G122" s="3">
        <f t="shared" si="39"/>
        <v>384</v>
      </c>
      <c r="H122" s="81"/>
      <c r="I122" s="3">
        <f t="shared" si="40"/>
        <v>384</v>
      </c>
      <c r="J122" s="3">
        <f t="shared" si="41"/>
        <v>0</v>
      </c>
      <c r="K122" s="3">
        <f>+IF(B122&lt;&gt;"CH",IFERROR(VLOOKUP(A122,'Stock Loeke'!A:G,7,),),)+IF(B122="CH",IFERROR(VLOOKUP(A122,'Stock Chef'!A:J,10,),0),0)</f>
        <v>0</v>
      </c>
      <c r="L122" s="3">
        <v>0</v>
      </c>
      <c r="M122" s="3">
        <f t="shared" si="42"/>
        <v>0</v>
      </c>
      <c r="N122" s="3">
        <v>48</v>
      </c>
      <c r="O122" s="3">
        <v>0</v>
      </c>
      <c r="P122" s="3">
        <v>0</v>
      </c>
      <c r="Q122" s="12">
        <v>0</v>
      </c>
      <c r="R122" s="100" t="str">
        <f>IFERROR(+VLOOKUP(A122,Quiebres!A:Q,17,0),"")</f>
        <v/>
      </c>
      <c r="S122" s="62" t="s">
        <v>318</v>
      </c>
    </row>
    <row r="123" spans="1:19" ht="18" x14ac:dyDescent="0.3">
      <c r="A123" s="11" t="s">
        <v>21</v>
      </c>
      <c r="B123" s="2" t="s">
        <v>279</v>
      </c>
      <c r="C123" s="4" t="s">
        <v>282</v>
      </c>
      <c r="D123" s="149" t="s">
        <v>138</v>
      </c>
      <c r="E123" s="51">
        <v>0.88</v>
      </c>
      <c r="F123" s="51">
        <f t="shared" si="38"/>
        <v>2946.2400000000002</v>
      </c>
      <c r="G123" s="3">
        <f t="shared" si="39"/>
        <v>3348</v>
      </c>
      <c r="H123" s="81"/>
      <c r="I123" s="3">
        <f t="shared" si="40"/>
        <v>3744</v>
      </c>
      <c r="J123" s="3">
        <f t="shared" si="41"/>
        <v>0.84615384615384615</v>
      </c>
      <c r="K123" s="3">
        <f>+IF(B123&lt;&gt;"CH",IFERROR(VLOOKUP(A123,'Stock Loeke'!A:G,7,),),)+IF(B123="CH",IFERROR(VLOOKUP(A123,'Stock Chef'!A:J,10,),0),0)</f>
        <v>396</v>
      </c>
      <c r="L123" s="3">
        <v>0</v>
      </c>
      <c r="M123" s="3">
        <f t="shared" si="42"/>
        <v>396</v>
      </c>
      <c r="N123" s="3">
        <v>468</v>
      </c>
      <c r="O123" s="3">
        <v>336</v>
      </c>
      <c r="P123" s="3">
        <v>468</v>
      </c>
      <c r="Q123" s="12">
        <v>432</v>
      </c>
      <c r="R123" s="100" t="str">
        <f>IFERROR(+VLOOKUP(A123,Quiebres!A:Q,17,0),"")</f>
        <v>me parece que dijiste que no te gustaba</v>
      </c>
      <c r="S123" s="62" t="s">
        <v>21</v>
      </c>
    </row>
    <row r="124" spans="1:19" ht="18" x14ac:dyDescent="0.3">
      <c r="A124" s="11" t="s">
        <v>259</v>
      </c>
      <c r="B124" s="2" t="s">
        <v>281</v>
      </c>
      <c r="C124" s="4" t="s">
        <v>282</v>
      </c>
      <c r="D124" s="2" t="s">
        <v>275</v>
      </c>
      <c r="E124" s="51">
        <v>0.48</v>
      </c>
      <c r="F124" s="51">
        <f t="shared" si="38"/>
        <v>276.48</v>
      </c>
      <c r="G124" s="3">
        <f t="shared" si="39"/>
        <v>576</v>
      </c>
      <c r="H124" s="81"/>
      <c r="I124" s="3">
        <f t="shared" si="40"/>
        <v>960</v>
      </c>
      <c r="J124" s="3">
        <f t="shared" si="41"/>
        <v>3.2</v>
      </c>
      <c r="K124" s="3">
        <f>+IF(B124&lt;&gt;"CH",IFERROR(VLOOKUP(A124,'Stock Loeke'!A:G,7,),),)+IF(B124="CH",IFERROR(VLOOKUP(A124,'Stock Chef'!A:J,10,),0),0)</f>
        <v>384</v>
      </c>
      <c r="L124" s="3">
        <v>0</v>
      </c>
      <c r="M124" s="3">
        <f t="shared" si="42"/>
        <v>384</v>
      </c>
      <c r="N124" s="3">
        <v>120</v>
      </c>
      <c r="O124" s="3">
        <v>0</v>
      </c>
      <c r="P124" s="3">
        <v>0</v>
      </c>
      <c r="Q124" s="12">
        <v>0</v>
      </c>
      <c r="R124" s="100" t="str">
        <f>IFERROR(+VLOOKUP(A124,Quiebres!A:Q,17,0),"")</f>
        <v/>
      </c>
      <c r="S124" s="63" t="s">
        <v>259</v>
      </c>
    </row>
    <row r="125" spans="1:19" ht="19.5" customHeight="1" x14ac:dyDescent="0.3">
      <c r="A125" s="11" t="s">
        <v>20</v>
      </c>
      <c r="B125" s="2" t="s">
        <v>279</v>
      </c>
      <c r="C125" s="4" t="s">
        <v>282</v>
      </c>
      <c r="D125" s="2" t="s">
        <v>137</v>
      </c>
      <c r="E125" s="56">
        <v>0.48</v>
      </c>
      <c r="F125" s="56">
        <f t="shared" si="38"/>
        <v>679.68</v>
      </c>
      <c r="G125" s="3">
        <f t="shared" si="39"/>
        <v>1416</v>
      </c>
      <c r="H125" s="81"/>
      <c r="I125" s="3">
        <f t="shared" si="40"/>
        <v>3360</v>
      </c>
      <c r="J125" s="3">
        <f t="shared" si="41"/>
        <v>4.628571428571429</v>
      </c>
      <c r="K125" s="3">
        <f>+IF(B125&lt;&gt;"CH",IFERROR(VLOOKUP(A125,'Stock Loeke'!A:G,7,),),)+IF(B125="CH",IFERROR(VLOOKUP(A125,'Stock Chef'!A:J,10,),0),0)</f>
        <v>-72</v>
      </c>
      <c r="L125" s="24">
        <v>2016</v>
      </c>
      <c r="M125" s="3">
        <f t="shared" si="42"/>
        <v>1944</v>
      </c>
      <c r="N125" s="3">
        <v>420</v>
      </c>
      <c r="O125" s="3">
        <v>336</v>
      </c>
      <c r="P125" s="3">
        <v>420</v>
      </c>
      <c r="Q125" s="12">
        <v>732</v>
      </c>
      <c r="R125" s="100"/>
      <c r="S125" s="62" t="s">
        <v>20</v>
      </c>
    </row>
    <row r="126" spans="1:19" ht="18" x14ac:dyDescent="0.3">
      <c r="A126" s="11" t="s">
        <v>29</v>
      </c>
      <c r="B126" s="2" t="s">
        <v>279</v>
      </c>
      <c r="C126" s="4" t="s">
        <v>282</v>
      </c>
      <c r="D126" s="2" t="s">
        <v>146</v>
      </c>
      <c r="E126" s="51">
        <v>1.1299999999999999</v>
      </c>
      <c r="F126" s="51">
        <f t="shared" si="38"/>
        <v>488.15999999999997</v>
      </c>
      <c r="G126" s="3">
        <f t="shared" si="39"/>
        <v>432</v>
      </c>
      <c r="H126" s="81"/>
      <c r="I126" s="3">
        <f t="shared" si="40"/>
        <v>3360</v>
      </c>
      <c r="J126" s="3">
        <f t="shared" si="41"/>
        <v>6.9714285714285715</v>
      </c>
      <c r="K126" s="3">
        <f>+IF(B126&lt;&gt;"CH",IFERROR(VLOOKUP(A126,'Stock Loeke'!A:G,7,),),)+IF(B126="CH",IFERROR(VLOOKUP(A126,'Stock Chef'!A:J,10,),0),0)</f>
        <v>0</v>
      </c>
      <c r="L126" s="24">
        <v>2928</v>
      </c>
      <c r="M126" s="3">
        <f t="shared" si="42"/>
        <v>2928</v>
      </c>
      <c r="N126" s="3">
        <v>420</v>
      </c>
      <c r="O126" s="3">
        <v>0</v>
      </c>
      <c r="P126" s="3">
        <v>60</v>
      </c>
      <c r="Q126" s="12">
        <v>408</v>
      </c>
      <c r="R126" s="100" t="str">
        <f>IFERROR(+VLOOKUP(A126,Quiebres!A:Q,17,0),"")</f>
        <v/>
      </c>
      <c r="S126" s="62" t="s">
        <v>29</v>
      </c>
    </row>
    <row r="127" spans="1:19" ht="18" x14ac:dyDescent="0.3">
      <c r="A127" s="11" t="s">
        <v>22</v>
      </c>
      <c r="B127" s="2" t="s">
        <v>279</v>
      </c>
      <c r="C127" s="4" t="s">
        <v>282</v>
      </c>
      <c r="D127" s="149" t="s">
        <v>139</v>
      </c>
      <c r="E127" s="51">
        <v>0.73</v>
      </c>
      <c r="F127" s="51">
        <f t="shared" si="38"/>
        <v>227.76</v>
      </c>
      <c r="G127" s="3">
        <f t="shared" si="39"/>
        <v>312</v>
      </c>
      <c r="H127" s="81"/>
      <c r="I127" s="3">
        <f t="shared" si="40"/>
        <v>3840</v>
      </c>
      <c r="J127" s="3">
        <f t="shared" si="41"/>
        <v>7.35</v>
      </c>
      <c r="K127" s="3">
        <f>+IF(B127&lt;&gt;"CH",IFERROR(VLOOKUP(A127,'Stock Loeke'!A:G,7,),),)+IF(B127="CH",IFERROR(VLOOKUP(A127,'Stock Chef'!A:J,10,),0),0)</f>
        <v>-72</v>
      </c>
      <c r="L127" s="24">
        <v>3600</v>
      </c>
      <c r="M127" s="3">
        <f t="shared" si="42"/>
        <v>3528</v>
      </c>
      <c r="N127" s="3">
        <v>480</v>
      </c>
      <c r="O127" s="3">
        <v>0</v>
      </c>
      <c r="P127" s="3">
        <v>744</v>
      </c>
      <c r="Q127" s="12">
        <v>1200</v>
      </c>
      <c r="R127" s="100" t="str">
        <f>IFERROR(+VLOOKUP(A127,Quiebres!A:Q,17,0),"")</f>
        <v/>
      </c>
      <c r="S127" s="62" t="s">
        <v>22</v>
      </c>
    </row>
    <row r="128" spans="1:19" ht="18" x14ac:dyDescent="0.3">
      <c r="A128" s="11" t="s">
        <v>28</v>
      </c>
      <c r="B128" s="2" t="s">
        <v>279</v>
      </c>
      <c r="C128" s="4" t="s">
        <v>282</v>
      </c>
      <c r="D128" s="2" t="s">
        <v>145</v>
      </c>
      <c r="E128" s="51">
        <v>0.91</v>
      </c>
      <c r="F128" s="51">
        <f t="shared" si="38"/>
        <v>0</v>
      </c>
      <c r="G128" s="3">
        <f t="shared" si="39"/>
        <v>0</v>
      </c>
      <c r="H128" s="81"/>
      <c r="I128" s="3">
        <f t="shared" si="40"/>
        <v>3840</v>
      </c>
      <c r="J128" s="3">
        <f t="shared" si="41"/>
        <v>8.3000000000000007</v>
      </c>
      <c r="K128" s="3">
        <f>+IF(B128&lt;&gt;"CH",IFERROR(VLOOKUP(A128,'Stock Loeke'!A:G,7,),),)+IF(B128="CH",IFERROR(VLOOKUP(A128,'Stock Chef'!A:J,10,),0),0)</f>
        <v>-48</v>
      </c>
      <c r="L128" s="24">
        <v>4032</v>
      </c>
      <c r="M128" s="3">
        <f t="shared" si="42"/>
        <v>3984</v>
      </c>
      <c r="N128" s="3">
        <v>480</v>
      </c>
      <c r="O128" s="3">
        <v>0</v>
      </c>
      <c r="P128" s="3">
        <v>132</v>
      </c>
      <c r="Q128" s="12">
        <v>36</v>
      </c>
      <c r="R128" s="100" t="str">
        <f>IFERROR(+VLOOKUP(A128,Quiebres!A:Q,17,0),"")</f>
        <v/>
      </c>
      <c r="S128" s="62" t="s">
        <v>28</v>
      </c>
    </row>
    <row r="129" spans="1:19" ht="18" x14ac:dyDescent="0.3">
      <c r="A129" s="11" t="s">
        <v>24</v>
      </c>
      <c r="B129" s="2" t="s">
        <v>279</v>
      </c>
      <c r="C129" s="4" t="s">
        <v>282</v>
      </c>
      <c r="D129" s="2" t="s">
        <v>141</v>
      </c>
      <c r="E129" s="51">
        <v>1.75</v>
      </c>
      <c r="F129" s="51">
        <f t="shared" si="38"/>
        <v>0</v>
      </c>
      <c r="G129" s="3">
        <f t="shared" si="39"/>
        <v>0</v>
      </c>
      <c r="H129" s="81"/>
      <c r="I129" s="3">
        <f t="shared" si="40"/>
        <v>1920</v>
      </c>
      <c r="J129" s="3">
        <f t="shared" si="41"/>
        <v>8.9499999999999993</v>
      </c>
      <c r="K129" s="3">
        <f>+IF(B129&lt;&gt;"CH",IFERROR(VLOOKUP(A129,'Stock Loeke'!A:G,7,),),)+IF(B129="CH",IFERROR(VLOOKUP(A129,'Stock Chef'!A:J,10,),0),0)</f>
        <v>132</v>
      </c>
      <c r="L129" s="24">
        <v>2016</v>
      </c>
      <c r="M129" s="3">
        <f t="shared" si="42"/>
        <v>2148</v>
      </c>
      <c r="N129" s="3">
        <v>240</v>
      </c>
      <c r="O129" s="3">
        <v>180</v>
      </c>
      <c r="P129" s="3">
        <v>276</v>
      </c>
      <c r="Q129" s="12">
        <v>384</v>
      </c>
      <c r="R129" s="100" t="str">
        <f>IFERROR(+VLOOKUP(A129,Quiebres!A:Q,17,0),"")</f>
        <v/>
      </c>
      <c r="S129" s="62" t="s">
        <v>24</v>
      </c>
    </row>
    <row r="130" spans="1:19" ht="18" x14ac:dyDescent="0.3">
      <c r="A130" s="11" t="s">
        <v>78</v>
      </c>
      <c r="B130" s="2" t="s">
        <v>279</v>
      </c>
      <c r="C130" s="4" t="s">
        <v>282</v>
      </c>
      <c r="D130" s="2" t="s">
        <v>195</v>
      </c>
      <c r="E130" s="51">
        <v>1.93</v>
      </c>
      <c r="F130" s="51">
        <f t="shared" si="38"/>
        <v>0</v>
      </c>
      <c r="G130" s="3">
        <f t="shared" si="39"/>
        <v>0</v>
      </c>
      <c r="H130" s="81"/>
      <c r="I130" s="3">
        <f t="shared" si="40"/>
        <v>2304</v>
      </c>
      <c r="J130" s="3">
        <f t="shared" si="41"/>
        <v>9.1666666666666661</v>
      </c>
      <c r="K130" s="3">
        <f>+IF(B130&lt;&gt;"CH",IFERROR(VLOOKUP(A130,'Stock Loeke'!A:G,7,),),)+IF(B130="CH",IFERROR(VLOOKUP(A130,'Stock Chef'!A:J,10,),0),0)</f>
        <v>-168</v>
      </c>
      <c r="L130" s="24">
        <v>2808</v>
      </c>
      <c r="M130" s="3">
        <f t="shared" si="42"/>
        <v>2640</v>
      </c>
      <c r="N130" s="3">
        <v>288</v>
      </c>
      <c r="O130" s="3">
        <v>0</v>
      </c>
      <c r="P130" s="3">
        <v>164</v>
      </c>
      <c r="Q130" s="12">
        <v>328</v>
      </c>
      <c r="R130" s="100" t="str">
        <f>IFERROR(+VLOOKUP(A130,Quiebres!A:Q,17,0),"")</f>
        <v/>
      </c>
      <c r="S130" s="62" t="s">
        <v>78</v>
      </c>
    </row>
    <row r="131" spans="1:19" ht="18" x14ac:dyDescent="0.3">
      <c r="A131" s="11" t="s">
        <v>69</v>
      </c>
      <c r="B131" s="2" t="s">
        <v>279</v>
      </c>
      <c r="C131" s="4" t="s">
        <v>282</v>
      </c>
      <c r="D131" s="2" t="s">
        <v>186</v>
      </c>
      <c r="E131" s="51">
        <v>0.51</v>
      </c>
      <c r="F131" s="51">
        <f t="shared" si="38"/>
        <v>0</v>
      </c>
      <c r="G131" s="3">
        <f t="shared" si="39"/>
        <v>0</v>
      </c>
      <c r="H131" s="81"/>
      <c r="I131" s="3">
        <f t="shared" si="40"/>
        <v>1920</v>
      </c>
      <c r="J131" s="3">
        <f t="shared" si="41"/>
        <v>9.9499999999999993</v>
      </c>
      <c r="K131" s="3">
        <f>+IF(B131&lt;&gt;"CH",IFERROR(VLOOKUP(A131,'Stock Loeke'!A:G,7,),),)+IF(B131="CH",IFERROR(VLOOKUP(A131,'Stock Chef'!A:J,10,),0),0)</f>
        <v>-60</v>
      </c>
      <c r="L131" s="24">
        <v>2448</v>
      </c>
      <c r="M131" s="3">
        <f t="shared" si="42"/>
        <v>2388</v>
      </c>
      <c r="N131" s="3">
        <v>240</v>
      </c>
      <c r="O131" s="3">
        <v>0</v>
      </c>
      <c r="P131" s="3">
        <v>180</v>
      </c>
      <c r="Q131" s="12">
        <v>264</v>
      </c>
      <c r="R131" s="100" t="str">
        <f>IFERROR(+VLOOKUP(A131,Quiebres!A:Q,17,0),"")</f>
        <v/>
      </c>
      <c r="S131" s="62" t="s">
        <v>69</v>
      </c>
    </row>
    <row r="132" spans="1:19" ht="18" x14ac:dyDescent="0.3">
      <c r="A132" s="11" t="s">
        <v>27</v>
      </c>
      <c r="B132" s="2" t="s">
        <v>279</v>
      </c>
      <c r="C132" s="4" t="s">
        <v>282</v>
      </c>
      <c r="D132" s="149" t="s">
        <v>144</v>
      </c>
      <c r="E132" s="51">
        <v>1.02</v>
      </c>
      <c r="F132" s="51">
        <f t="shared" si="38"/>
        <v>0</v>
      </c>
      <c r="G132" s="3">
        <f t="shared" si="39"/>
        <v>0</v>
      </c>
      <c r="H132" s="81"/>
      <c r="I132" s="3">
        <f t="shared" si="40"/>
        <v>960</v>
      </c>
      <c r="J132" s="3">
        <f t="shared" si="41"/>
        <v>10.7</v>
      </c>
      <c r="K132" s="3">
        <f>+IF(B132&lt;&gt;"CH",IFERROR(VLOOKUP(A132,'Stock Loeke'!A:G,7,),),)+IF(B132="CH",IFERROR(VLOOKUP(A132,'Stock Chef'!A:J,10,),0),0)</f>
        <v>84</v>
      </c>
      <c r="L132" s="24">
        <v>1200</v>
      </c>
      <c r="M132" s="3">
        <f t="shared" si="42"/>
        <v>1284</v>
      </c>
      <c r="N132" s="3">
        <v>120</v>
      </c>
      <c r="O132" s="3">
        <v>84</v>
      </c>
      <c r="P132" s="3">
        <v>72</v>
      </c>
      <c r="Q132" s="12">
        <v>144</v>
      </c>
      <c r="R132" s="100" t="str">
        <f>IFERROR(+VLOOKUP(A132,Quiebres!A:Q,17,0),"")</f>
        <v/>
      </c>
      <c r="S132" s="62" t="s">
        <v>27</v>
      </c>
    </row>
    <row r="133" spans="1:19" ht="18" x14ac:dyDescent="0.3">
      <c r="A133" s="13" t="s">
        <v>23</v>
      </c>
      <c r="B133" s="2" t="s">
        <v>279</v>
      </c>
      <c r="C133" s="4" t="s">
        <v>282</v>
      </c>
      <c r="D133" s="149" t="s">
        <v>140</v>
      </c>
      <c r="E133" s="51">
        <v>0.84</v>
      </c>
      <c r="F133" s="51">
        <f t="shared" si="38"/>
        <v>0</v>
      </c>
      <c r="G133" s="3">
        <f t="shared" si="39"/>
        <v>0</v>
      </c>
      <c r="H133" s="81"/>
      <c r="I133" s="3">
        <f t="shared" si="40"/>
        <v>0</v>
      </c>
      <c r="J133" s="3" t="str">
        <f t="shared" si="41"/>
        <v/>
      </c>
      <c r="K133" s="3">
        <f>+IF(B133&lt;&gt;"CH",IFERROR(VLOOKUP(A133,'Stock Loeke'!A:G,7,),),)+IF(B133="CH",IFERROR(VLOOKUP(A133,'Stock Chef'!A:J,10,),0),0)</f>
        <v>0</v>
      </c>
      <c r="L133" s="3">
        <v>0</v>
      </c>
      <c r="M133" s="3">
        <f t="shared" si="42"/>
        <v>0</v>
      </c>
      <c r="N133" s="3">
        <v>0</v>
      </c>
      <c r="O133" s="3">
        <v>0</v>
      </c>
      <c r="P133" s="3">
        <v>0</v>
      </c>
      <c r="Q133" s="12">
        <v>0</v>
      </c>
      <c r="R133" s="100" t="str">
        <f>IFERROR(+VLOOKUP(A133,Quiebres!A:Q,17,0),"")</f>
        <v/>
      </c>
      <c r="S133" s="62" t="s">
        <v>318</v>
      </c>
    </row>
    <row r="134" spans="1:19" ht="18" x14ac:dyDescent="0.3">
      <c r="A134" s="13" t="s">
        <v>30</v>
      </c>
      <c r="B134" s="2" t="s">
        <v>279</v>
      </c>
      <c r="C134" s="4" t="s">
        <v>282</v>
      </c>
      <c r="D134" s="2" t="s">
        <v>147</v>
      </c>
      <c r="E134" s="51">
        <v>1.01</v>
      </c>
      <c r="F134" s="51">
        <f t="shared" si="38"/>
        <v>0</v>
      </c>
      <c r="G134" s="3">
        <f t="shared" si="39"/>
        <v>0</v>
      </c>
      <c r="H134" s="81"/>
      <c r="I134" s="3">
        <f t="shared" si="40"/>
        <v>0</v>
      </c>
      <c r="J134" s="3" t="str">
        <f t="shared" si="41"/>
        <v/>
      </c>
      <c r="K134" s="3">
        <f>+IF(B134&lt;&gt;"CH",IFERROR(VLOOKUP(A134,'Stock Loeke'!A:G,7,),),)+IF(B134="CH",IFERROR(VLOOKUP(A134,'Stock Chef'!A:J,10,),0),0)</f>
        <v>0</v>
      </c>
      <c r="L134" s="3">
        <v>0</v>
      </c>
      <c r="M134" s="3">
        <f t="shared" si="42"/>
        <v>0</v>
      </c>
      <c r="N134" s="3">
        <v>0</v>
      </c>
      <c r="O134" s="3">
        <v>0</v>
      </c>
      <c r="P134" s="3">
        <v>0</v>
      </c>
      <c r="Q134" s="12">
        <v>0</v>
      </c>
      <c r="R134" s="100" t="str">
        <f>IFERROR(+VLOOKUP(A134,Quiebres!A:Q,17,0),"")</f>
        <v/>
      </c>
      <c r="S134" s="62" t="s">
        <v>318</v>
      </c>
    </row>
    <row r="135" spans="1:19" ht="18" x14ac:dyDescent="0.3">
      <c r="A135" s="13" t="s">
        <v>25</v>
      </c>
      <c r="B135" s="2" t="s">
        <v>279</v>
      </c>
      <c r="C135" s="4" t="s">
        <v>282</v>
      </c>
      <c r="D135" s="2" t="s">
        <v>142</v>
      </c>
      <c r="E135" s="51">
        <v>1.75</v>
      </c>
      <c r="F135" s="51">
        <f t="shared" si="38"/>
        <v>0</v>
      </c>
      <c r="G135" s="3">
        <f t="shared" si="39"/>
        <v>0</v>
      </c>
      <c r="H135" s="81"/>
      <c r="I135" s="3">
        <f t="shared" si="40"/>
        <v>0</v>
      </c>
      <c r="J135" s="3" t="str">
        <f t="shared" si="41"/>
        <v/>
      </c>
      <c r="K135" s="3">
        <f>+IF(B135&lt;&gt;"CH",IFERROR(VLOOKUP(A135,'Stock Loeke'!A:G,7,),),)+IF(B135="CH",IFERROR(VLOOKUP(A135,'Stock Chef'!A:J,10,),0),0)</f>
        <v>0</v>
      </c>
      <c r="L135" s="3">
        <v>0</v>
      </c>
      <c r="M135" s="3">
        <f t="shared" si="42"/>
        <v>0</v>
      </c>
      <c r="N135" s="3">
        <v>0</v>
      </c>
      <c r="O135" s="3">
        <v>0</v>
      </c>
      <c r="P135" s="3">
        <v>0</v>
      </c>
      <c r="Q135" s="12">
        <v>0</v>
      </c>
      <c r="R135" s="100" t="str">
        <f>IFERROR(+VLOOKUP(A135,Quiebres!A:Q,17,0),"")</f>
        <v/>
      </c>
      <c r="S135" s="62" t="s">
        <v>318</v>
      </c>
    </row>
    <row r="136" spans="1:19" ht="18" x14ac:dyDescent="0.3">
      <c r="A136" s="13" t="s">
        <v>31</v>
      </c>
      <c r="B136" s="2" t="s">
        <v>279</v>
      </c>
      <c r="C136" s="4" t="s">
        <v>282</v>
      </c>
      <c r="D136" s="2" t="s">
        <v>148</v>
      </c>
      <c r="E136" s="51">
        <v>5.98</v>
      </c>
      <c r="F136" s="51">
        <f t="shared" si="38"/>
        <v>0</v>
      </c>
      <c r="G136" s="3">
        <f t="shared" si="39"/>
        <v>0</v>
      </c>
      <c r="H136" s="81"/>
      <c r="I136" s="3">
        <f t="shared" si="40"/>
        <v>0</v>
      </c>
      <c r="J136" s="3" t="str">
        <f t="shared" si="41"/>
        <v/>
      </c>
      <c r="K136" s="3">
        <f>+IF(B136&lt;&gt;"CH",IFERROR(VLOOKUP(A136,'Stock Loeke'!A:G,7,),),)+IF(B136="CH",IFERROR(VLOOKUP(A136,'Stock Chef'!A:J,10,),0),0)</f>
        <v>0</v>
      </c>
      <c r="L136" s="3">
        <v>0</v>
      </c>
      <c r="M136" s="3">
        <f t="shared" si="42"/>
        <v>0</v>
      </c>
      <c r="N136" s="3">
        <v>0</v>
      </c>
      <c r="O136" s="3">
        <v>0</v>
      </c>
      <c r="P136" s="3">
        <v>0</v>
      </c>
      <c r="Q136" s="12">
        <v>0</v>
      </c>
      <c r="R136" s="100" t="str">
        <f>IFERROR(+VLOOKUP(A136,Quiebres!A:Q,17,0),"")</f>
        <v/>
      </c>
      <c r="S136" s="62" t="s">
        <v>318</v>
      </c>
    </row>
    <row r="137" spans="1:19" ht="18.600000000000001" thickBot="1" x14ac:dyDescent="0.35">
      <c r="A137" s="14" t="s">
        <v>260</v>
      </c>
      <c r="B137" s="15" t="s">
        <v>281</v>
      </c>
      <c r="C137" s="16" t="s">
        <v>282</v>
      </c>
      <c r="D137" s="15" t="s">
        <v>276</v>
      </c>
      <c r="E137" s="70">
        <v>0.88</v>
      </c>
      <c r="F137" s="70">
        <f t="shared" si="38"/>
        <v>0</v>
      </c>
      <c r="G137" s="17">
        <f t="shared" si="39"/>
        <v>0</v>
      </c>
      <c r="H137" s="82"/>
      <c r="I137" s="17">
        <f t="shared" si="40"/>
        <v>0</v>
      </c>
      <c r="J137" s="17" t="str">
        <f t="shared" si="41"/>
        <v/>
      </c>
      <c r="K137" s="3">
        <f>+IF(B137&lt;&gt;"CH",IFERROR(VLOOKUP(A137,'Stock Loeke'!A:G,7,),),)+IF(B137="CH",IFERROR(VLOOKUP(A137,'Stock Chef'!A:J,10,),0),0)</f>
        <v>0</v>
      </c>
      <c r="L137" s="17">
        <v>0</v>
      </c>
      <c r="M137" s="17">
        <f t="shared" si="42"/>
        <v>0</v>
      </c>
      <c r="N137" s="17">
        <v>0</v>
      </c>
      <c r="O137" s="17">
        <v>0</v>
      </c>
      <c r="P137" s="17">
        <v>0</v>
      </c>
      <c r="Q137" s="18">
        <v>0</v>
      </c>
      <c r="R137" s="101" t="str">
        <f>IFERROR(+VLOOKUP(A137,Quiebres!A:Q,17,0),"")</f>
        <v/>
      </c>
      <c r="S137" s="64" t="s">
        <v>318</v>
      </c>
    </row>
    <row r="138" spans="1:19" ht="15" thickBot="1" x14ac:dyDescent="0.35">
      <c r="C138"/>
      <c r="E138"/>
      <c r="F138"/>
    </row>
    <row r="139" spans="1:19" ht="32.25" customHeight="1" thickBot="1" x14ac:dyDescent="0.35">
      <c r="C139"/>
      <c r="E139" s="66" t="s">
        <v>284</v>
      </c>
      <c r="F139" s="76">
        <f>+SUM(F141:F171)</f>
        <v>37930.239999999998</v>
      </c>
      <c r="O139" s="155" t="s">
        <v>10</v>
      </c>
      <c r="P139" s="156"/>
      <c r="Q139" s="157"/>
    </row>
    <row r="140" spans="1:19" ht="31.8" thickBot="1" x14ac:dyDescent="0.35">
      <c r="A140" s="20" t="s">
        <v>1</v>
      </c>
      <c r="B140" s="23" t="s">
        <v>278</v>
      </c>
      <c r="C140" s="21" t="s">
        <v>0</v>
      </c>
      <c r="D140" s="21" t="s">
        <v>2</v>
      </c>
      <c r="E140" s="53" t="s">
        <v>315</v>
      </c>
      <c r="F140" s="50" t="s">
        <v>314</v>
      </c>
      <c r="G140" s="57" t="s">
        <v>3</v>
      </c>
      <c r="H140" s="88" t="s">
        <v>321</v>
      </c>
      <c r="I140" s="80" t="s">
        <v>4</v>
      </c>
      <c r="J140" s="21" t="s">
        <v>299</v>
      </c>
      <c r="K140" s="21" t="s">
        <v>5</v>
      </c>
      <c r="L140" s="21" t="s">
        <v>6</v>
      </c>
      <c r="M140" s="21" t="s">
        <v>7</v>
      </c>
      <c r="N140" s="21" t="s">
        <v>8</v>
      </c>
      <c r="O140" s="21" t="s">
        <v>245</v>
      </c>
      <c r="P140" s="21" t="s">
        <v>246</v>
      </c>
      <c r="Q140" s="57" t="s">
        <v>247</v>
      </c>
      <c r="R140" s="74" t="s">
        <v>312</v>
      </c>
      <c r="S140" s="75" t="s">
        <v>317</v>
      </c>
    </row>
    <row r="141" spans="1:19" ht="18" x14ac:dyDescent="0.3">
      <c r="A141" s="6" t="s">
        <v>253</v>
      </c>
      <c r="B141" s="7" t="s">
        <v>281</v>
      </c>
      <c r="C141" s="8" t="s">
        <v>284</v>
      </c>
      <c r="D141" s="7" t="s">
        <v>270</v>
      </c>
      <c r="E141" s="68">
        <v>0.59</v>
      </c>
      <c r="F141" s="68">
        <f t="shared" ref="F141:F171" si="43">+E141*IF(ISNUMBER(H141),H141,G141)</f>
        <v>1416</v>
      </c>
      <c r="G141" s="58">
        <f t="shared" ref="G141:G171" si="44">IF((+I141-M141)&lt;0,0,+I141-M141)</f>
        <v>1920</v>
      </c>
      <c r="H141" s="83">
        <v>2400</v>
      </c>
      <c r="I141" s="84">
        <f t="shared" ref="I141:I171" si="45">+$I$3*N141</f>
        <v>1920</v>
      </c>
      <c r="J141" s="9">
        <f t="shared" ref="J141:J171" si="46">IFERROR(+M141/N141,"")</f>
        <v>0</v>
      </c>
      <c r="K141" s="3">
        <f>+IF(B141&lt;&gt;"CH",IFERROR(VLOOKUP(A141,'Stock Loeke'!A:G,7,),),)+IF(B141="CH",IFERROR(VLOOKUP(A141,'Stock Chef'!A:J,10,),0),0)</f>
        <v>0</v>
      </c>
      <c r="L141" s="9">
        <v>0</v>
      </c>
      <c r="M141" s="9">
        <f t="shared" ref="M141:M171" si="47">+K141+L141</f>
        <v>0</v>
      </c>
      <c r="N141" s="9">
        <v>240</v>
      </c>
      <c r="O141" s="9">
        <v>372</v>
      </c>
      <c r="P141" s="9">
        <v>1452</v>
      </c>
      <c r="Q141" s="58">
        <v>468</v>
      </c>
      <c r="R141" s="6" t="str">
        <f>IFERROR(+VLOOKUP(A141,Quiebres!A:Q,17,0),"")</f>
        <v>se compraba</v>
      </c>
      <c r="S141" s="69" t="s">
        <v>253</v>
      </c>
    </row>
    <row r="142" spans="1:19" ht="18" x14ac:dyDescent="0.3">
      <c r="A142" s="11" t="s">
        <v>254</v>
      </c>
      <c r="B142" s="2" t="s">
        <v>281</v>
      </c>
      <c r="C142" s="4" t="s">
        <v>284</v>
      </c>
      <c r="D142" s="2" t="s">
        <v>271</v>
      </c>
      <c r="E142" s="51">
        <v>0.93</v>
      </c>
      <c r="F142" s="51">
        <f t="shared" si="43"/>
        <v>2232</v>
      </c>
      <c r="G142" s="59">
        <f t="shared" si="44"/>
        <v>2124</v>
      </c>
      <c r="H142" s="81">
        <v>2400</v>
      </c>
      <c r="I142" s="85">
        <f t="shared" si="45"/>
        <v>2208</v>
      </c>
      <c r="J142" s="3">
        <f t="shared" si="46"/>
        <v>0.30434782608695654</v>
      </c>
      <c r="K142" s="3">
        <f>+IF(B142&lt;&gt;"CH",IFERROR(VLOOKUP(A142,'Stock Loeke'!A:G,7,),),)+IF(B142="CH",IFERROR(VLOOKUP(A142,'Stock Chef'!A:J,10,),0),0)</f>
        <v>84</v>
      </c>
      <c r="L142" s="3">
        <v>0</v>
      </c>
      <c r="M142" s="3">
        <f t="shared" si="47"/>
        <v>84</v>
      </c>
      <c r="N142" s="3">
        <v>276</v>
      </c>
      <c r="O142" s="3">
        <v>96</v>
      </c>
      <c r="P142" s="3">
        <v>60</v>
      </c>
      <c r="Q142" s="59">
        <v>144</v>
      </c>
      <c r="R142" s="11" t="str">
        <f>IFERROR(+VLOOKUP(A142,Quiebres!A:Q,17,0),"")</f>
        <v>se compraba</v>
      </c>
      <c r="S142" s="62" t="s">
        <v>254</v>
      </c>
    </row>
    <row r="143" spans="1:19" ht="18" x14ac:dyDescent="0.3">
      <c r="A143" s="11" t="s">
        <v>50</v>
      </c>
      <c r="B143" s="2" t="s">
        <v>279</v>
      </c>
      <c r="C143" s="4" t="s">
        <v>284</v>
      </c>
      <c r="D143" s="2" t="s">
        <v>167</v>
      </c>
      <c r="E143" s="51">
        <v>0.32</v>
      </c>
      <c r="F143" s="51">
        <f t="shared" si="43"/>
        <v>1612.8</v>
      </c>
      <c r="G143" s="59">
        <f t="shared" si="44"/>
        <v>5040</v>
      </c>
      <c r="H143" s="81"/>
      <c r="I143" s="85">
        <f t="shared" si="45"/>
        <v>5472</v>
      </c>
      <c r="J143" s="3">
        <f t="shared" si="46"/>
        <v>0.63157894736842102</v>
      </c>
      <c r="K143" s="3">
        <f>+IF(B143&lt;&gt;"CH",IFERROR(VLOOKUP(A143,'Stock Loeke'!A:G,7,),),)+IF(B143="CH",IFERROR(VLOOKUP(A143,'Stock Chef'!A:J,10,),0),0)</f>
        <v>432</v>
      </c>
      <c r="L143" s="3">
        <v>0</v>
      </c>
      <c r="M143" s="3">
        <f t="shared" si="47"/>
        <v>432</v>
      </c>
      <c r="N143" s="3">
        <v>684</v>
      </c>
      <c r="O143" s="3">
        <v>696</v>
      </c>
      <c r="P143" s="3">
        <v>960</v>
      </c>
      <c r="Q143" s="59">
        <v>996</v>
      </c>
      <c r="R143" s="11" t="str">
        <f>IFERROR(+VLOOKUP(A143,Quiebres!A:Q,17,0),"")</f>
        <v>+ barato nacional</v>
      </c>
      <c r="S143" s="62" t="s">
        <v>50</v>
      </c>
    </row>
    <row r="144" spans="1:19" ht="18" x14ac:dyDescent="0.3">
      <c r="A144" s="11" t="s">
        <v>41</v>
      </c>
      <c r="B144" s="2" t="s">
        <v>279</v>
      </c>
      <c r="C144" s="4" t="s">
        <v>284</v>
      </c>
      <c r="D144" s="2" t="s">
        <v>158</v>
      </c>
      <c r="E144" s="51">
        <v>0.28999999999999998</v>
      </c>
      <c r="F144" s="51">
        <f t="shared" si="43"/>
        <v>2900</v>
      </c>
      <c r="G144" s="59">
        <f t="shared" si="44"/>
        <v>9552</v>
      </c>
      <c r="H144" s="81">
        <v>10000</v>
      </c>
      <c r="I144" s="85">
        <f t="shared" si="45"/>
        <v>14400</v>
      </c>
      <c r="J144" s="3">
        <f t="shared" si="46"/>
        <v>2.6933333333333334</v>
      </c>
      <c r="K144" s="3">
        <f>+IF(B144&lt;&gt;"CH",IFERROR(VLOOKUP(A144,'Stock Loeke'!A:G,7,),),)+IF(B144="CH",IFERROR(VLOOKUP(A144,'Stock Chef'!A:J,10,),0),0)</f>
        <v>1680</v>
      </c>
      <c r="L144" s="24">
        <v>3168</v>
      </c>
      <c r="M144" s="3">
        <f t="shared" si="47"/>
        <v>4848</v>
      </c>
      <c r="N144" s="3">
        <v>1800</v>
      </c>
      <c r="O144" s="3">
        <v>576</v>
      </c>
      <c r="P144" s="3">
        <v>1344</v>
      </c>
      <c r="Q144" s="59">
        <v>2472</v>
      </c>
      <c r="R144" s="11" t="str">
        <f>IFERROR(+VLOOKUP(A144,Quiebres!A:Q,17,0),"")</f>
        <v>mayor consumo (megashop)</v>
      </c>
      <c r="S144" s="62" t="s">
        <v>41</v>
      </c>
    </row>
    <row r="145" spans="1:19" ht="18" x14ac:dyDescent="0.3">
      <c r="A145" s="11" t="s">
        <v>54</v>
      </c>
      <c r="B145" s="2" t="s">
        <v>279</v>
      </c>
      <c r="C145" s="4" t="s">
        <v>284</v>
      </c>
      <c r="D145" s="149" t="s">
        <v>171</v>
      </c>
      <c r="E145" s="51">
        <v>0.93</v>
      </c>
      <c r="F145" s="51">
        <f t="shared" si="43"/>
        <v>4650</v>
      </c>
      <c r="G145" s="59">
        <f t="shared" si="44"/>
        <v>5556</v>
      </c>
      <c r="H145" s="81">
        <v>5000</v>
      </c>
      <c r="I145" s="85">
        <f t="shared" si="45"/>
        <v>9600</v>
      </c>
      <c r="J145" s="3">
        <f t="shared" si="46"/>
        <v>3.37</v>
      </c>
      <c r="K145" s="3">
        <f>+IF(B145&lt;&gt;"CH",IFERROR(VLOOKUP(A145,'Stock Loeke'!A:G,7,),),)+IF(B145="CH",IFERROR(VLOOKUP(A145,'Stock Chef'!A:J,10,),0),0)</f>
        <v>4044</v>
      </c>
      <c r="L145" s="3">
        <v>0</v>
      </c>
      <c r="M145" s="3">
        <f t="shared" si="47"/>
        <v>4044</v>
      </c>
      <c r="N145" s="3">
        <v>1200</v>
      </c>
      <c r="O145" s="3">
        <v>516</v>
      </c>
      <c r="P145" s="3">
        <v>1140</v>
      </c>
      <c r="Q145" s="59">
        <v>1452</v>
      </c>
      <c r="R145" s="11" t="str">
        <f>IFERROR(+VLOOKUP(A145,Quiebres!A:Q,17,0),"")</f>
        <v>mayor consumo (megashop/Jumbo)</v>
      </c>
      <c r="S145" s="62" t="s">
        <v>54</v>
      </c>
    </row>
    <row r="146" spans="1:19" ht="18" x14ac:dyDescent="0.3">
      <c r="A146" s="11" t="s">
        <v>68</v>
      </c>
      <c r="B146" s="2" t="s">
        <v>279</v>
      </c>
      <c r="C146" s="4" t="s">
        <v>284</v>
      </c>
      <c r="D146" s="149" t="s">
        <v>185</v>
      </c>
      <c r="E146" s="51">
        <v>0.7</v>
      </c>
      <c r="F146" s="51">
        <f t="shared" si="43"/>
        <v>840</v>
      </c>
      <c r="G146" s="59">
        <f t="shared" si="44"/>
        <v>1176</v>
      </c>
      <c r="H146" s="81">
        <v>1200</v>
      </c>
      <c r="I146" s="85">
        <f t="shared" si="45"/>
        <v>2304</v>
      </c>
      <c r="J146" s="3">
        <f t="shared" si="46"/>
        <v>3.9166666666666665</v>
      </c>
      <c r="K146" s="3">
        <f>+IF(B146&lt;&gt;"CH",IFERROR(VLOOKUP(A146,'Stock Loeke'!A:G,7,),),)+IF(B146="CH",IFERROR(VLOOKUP(A146,'Stock Chef'!A:J,10,),0),0)</f>
        <v>1128</v>
      </c>
      <c r="L146" s="3">
        <v>0</v>
      </c>
      <c r="M146" s="3">
        <f t="shared" si="47"/>
        <v>1128</v>
      </c>
      <c r="N146" s="3">
        <v>288</v>
      </c>
      <c r="O146" s="3">
        <v>288</v>
      </c>
      <c r="P146" s="3">
        <v>216</v>
      </c>
      <c r="Q146" s="59">
        <v>324</v>
      </c>
      <c r="R146" s="11"/>
      <c r="S146" s="62" t="s">
        <v>68</v>
      </c>
    </row>
    <row r="147" spans="1:19" ht="18" x14ac:dyDescent="0.3">
      <c r="A147" s="11" t="s">
        <v>68</v>
      </c>
      <c r="B147" s="2" t="s">
        <v>279</v>
      </c>
      <c r="C147" s="4" t="s">
        <v>284</v>
      </c>
      <c r="D147" s="2" t="s">
        <v>273</v>
      </c>
      <c r="E147" s="51">
        <v>0.7</v>
      </c>
      <c r="F147" s="51">
        <f t="shared" si="43"/>
        <v>3500</v>
      </c>
      <c r="G147" s="59">
        <f t="shared" si="44"/>
        <v>8280</v>
      </c>
      <c r="H147" s="81">
        <v>5000</v>
      </c>
      <c r="I147" s="85">
        <f t="shared" si="45"/>
        <v>13440</v>
      </c>
      <c r="J147" s="3">
        <f t="shared" si="46"/>
        <v>3.0714285714285716</v>
      </c>
      <c r="K147" s="3">
        <f>+IF(B147&lt;&gt;"CH",IFERROR(VLOOKUP(A147,'Stock Loeke'!A:G,7,),),)+IF(B147="CH",IFERROR(VLOOKUP(A147,'Stock Chef'!A:J,10,),0),0)</f>
        <v>1128</v>
      </c>
      <c r="L147" s="3">
        <v>4032</v>
      </c>
      <c r="M147" s="3">
        <f t="shared" si="47"/>
        <v>5160</v>
      </c>
      <c r="N147" s="3">
        <v>1680</v>
      </c>
      <c r="O147" s="3">
        <v>1248</v>
      </c>
      <c r="P147" s="3">
        <v>948</v>
      </c>
      <c r="Q147" s="59">
        <v>744</v>
      </c>
      <c r="R147" s="11"/>
      <c r="S147" s="62" t="s">
        <v>68</v>
      </c>
    </row>
    <row r="148" spans="1:19" ht="18" x14ac:dyDescent="0.3">
      <c r="A148" s="11" t="s">
        <v>77</v>
      </c>
      <c r="B148" s="2" t="s">
        <v>279</v>
      </c>
      <c r="C148" s="4" t="s">
        <v>284</v>
      </c>
      <c r="D148" s="149" t="s">
        <v>194</v>
      </c>
      <c r="E148" s="56">
        <v>0.61</v>
      </c>
      <c r="F148" s="56">
        <f t="shared" si="43"/>
        <v>732</v>
      </c>
      <c r="G148" s="59">
        <f t="shared" si="44"/>
        <v>1776</v>
      </c>
      <c r="H148" s="81">
        <v>1200</v>
      </c>
      <c r="I148" s="85">
        <f t="shared" si="45"/>
        <v>4800</v>
      </c>
      <c r="J148" s="3">
        <f t="shared" si="46"/>
        <v>5.04</v>
      </c>
      <c r="K148" s="3">
        <f>+IF(B148&lt;&gt;"CH",IFERROR(VLOOKUP(A148,'Stock Loeke'!A:G,7,),),)+IF(B148="CH",IFERROR(VLOOKUP(A148,'Stock Chef'!A:J,10,),0),0)</f>
        <v>3024</v>
      </c>
      <c r="L148" s="3">
        <v>0</v>
      </c>
      <c r="M148" s="3">
        <f t="shared" si="47"/>
        <v>3024</v>
      </c>
      <c r="N148" s="3">
        <v>600</v>
      </c>
      <c r="O148" s="3">
        <v>396</v>
      </c>
      <c r="P148" s="3">
        <v>516</v>
      </c>
      <c r="Q148" s="59">
        <v>1248</v>
      </c>
      <c r="R148" s="11"/>
      <c r="S148" s="62" t="s">
        <v>77</v>
      </c>
    </row>
    <row r="149" spans="1:19" ht="18" x14ac:dyDescent="0.3">
      <c r="A149" s="11" t="s">
        <v>250</v>
      </c>
      <c r="B149" s="2" t="s">
        <v>281</v>
      </c>
      <c r="C149" s="4" t="s">
        <v>284</v>
      </c>
      <c r="D149" s="2" t="s">
        <v>267</v>
      </c>
      <c r="E149" s="56">
        <v>0.4</v>
      </c>
      <c r="F149" s="56">
        <f t="shared" si="43"/>
        <v>1200</v>
      </c>
      <c r="G149" s="59">
        <f t="shared" si="44"/>
        <v>3372</v>
      </c>
      <c r="H149" s="81">
        <v>3000</v>
      </c>
      <c r="I149" s="85">
        <f t="shared" si="45"/>
        <v>9600</v>
      </c>
      <c r="J149" s="3">
        <f t="shared" si="46"/>
        <v>5.19</v>
      </c>
      <c r="K149" s="3">
        <f>+IF(B149&lt;&gt;"CH",IFERROR(VLOOKUP(A149,'Stock Loeke'!A:G,7,),),)+IF(B149="CH",IFERROR(VLOOKUP(A149,'Stock Chef'!A:J,10,),0),0)</f>
        <v>-396</v>
      </c>
      <c r="L149" s="24">
        <v>6624</v>
      </c>
      <c r="M149" s="3">
        <f t="shared" si="47"/>
        <v>6228</v>
      </c>
      <c r="N149" s="3">
        <v>1200</v>
      </c>
      <c r="O149" s="3">
        <v>0</v>
      </c>
      <c r="P149" s="3">
        <v>1620</v>
      </c>
      <c r="Q149" s="59">
        <v>1068</v>
      </c>
      <c r="R149" s="11"/>
      <c r="S149" s="62" t="s">
        <v>250</v>
      </c>
    </row>
    <row r="150" spans="1:19" ht="18" x14ac:dyDescent="0.3">
      <c r="A150" s="11" t="s">
        <v>76</v>
      </c>
      <c r="B150" s="2" t="s">
        <v>279</v>
      </c>
      <c r="C150" s="4" t="s">
        <v>284</v>
      </c>
      <c r="D150" s="149" t="s">
        <v>193</v>
      </c>
      <c r="E150" s="51">
        <v>0.7</v>
      </c>
      <c r="F150" s="51">
        <f t="shared" si="43"/>
        <v>840</v>
      </c>
      <c r="G150" s="59">
        <f t="shared" si="44"/>
        <v>888</v>
      </c>
      <c r="H150" s="81">
        <v>1200</v>
      </c>
      <c r="I150" s="85">
        <f t="shared" si="45"/>
        <v>3360</v>
      </c>
      <c r="J150" s="3">
        <f t="shared" si="46"/>
        <v>5.8857142857142861</v>
      </c>
      <c r="K150" s="3">
        <f>+IF(B150&lt;&gt;"CH",IFERROR(VLOOKUP(A150,'Stock Loeke'!A:G,7,),),)+IF(B150="CH",IFERROR(VLOOKUP(A150,'Stock Chef'!A:J,10,),0),0)</f>
        <v>2472</v>
      </c>
      <c r="L150" s="3">
        <v>0</v>
      </c>
      <c r="M150" s="3">
        <f t="shared" si="47"/>
        <v>2472</v>
      </c>
      <c r="N150" s="3">
        <v>420</v>
      </c>
      <c r="O150" s="3">
        <v>96</v>
      </c>
      <c r="P150" s="3">
        <v>252</v>
      </c>
      <c r="Q150" s="59">
        <v>420</v>
      </c>
      <c r="R150" s="11"/>
      <c r="S150" s="62" t="s">
        <v>76</v>
      </c>
    </row>
    <row r="151" spans="1:19" ht="18" x14ac:dyDescent="0.3">
      <c r="A151" s="11" t="s">
        <v>75</v>
      </c>
      <c r="B151" s="2" t="s">
        <v>279</v>
      </c>
      <c r="C151" s="4" t="s">
        <v>284</v>
      </c>
      <c r="D151" s="149" t="s">
        <v>192</v>
      </c>
      <c r="E151" s="51">
        <v>0.49</v>
      </c>
      <c r="F151" s="51">
        <f t="shared" si="43"/>
        <v>1764</v>
      </c>
      <c r="G151" s="59">
        <f t="shared" si="44"/>
        <v>3096</v>
      </c>
      <c r="H151" s="81">
        <v>3600</v>
      </c>
      <c r="I151" s="85">
        <f t="shared" si="45"/>
        <v>14976</v>
      </c>
      <c r="J151" s="3">
        <f t="shared" si="46"/>
        <v>6.3461538461538458</v>
      </c>
      <c r="K151" s="3">
        <f>+IF(B151&lt;&gt;"CH",IFERROR(VLOOKUP(A151,'Stock Loeke'!A:G,7,),),)+IF(B151="CH",IFERROR(VLOOKUP(A151,'Stock Chef'!A:J,10,),0),0)</f>
        <v>11880</v>
      </c>
      <c r="L151" s="3">
        <v>0</v>
      </c>
      <c r="M151" s="3">
        <f t="shared" si="47"/>
        <v>11880</v>
      </c>
      <c r="N151" s="3">
        <v>1872</v>
      </c>
      <c r="O151" s="3">
        <v>804</v>
      </c>
      <c r="P151" s="3">
        <v>1920</v>
      </c>
      <c r="Q151" s="59">
        <v>2196</v>
      </c>
      <c r="R151" s="11" t="str">
        <f>IFERROR(+VLOOKUP(A151,Quiebres!A:Q,17,0),"")</f>
        <v/>
      </c>
      <c r="S151" s="62" t="s">
        <v>75</v>
      </c>
    </row>
    <row r="152" spans="1:19" ht="18" x14ac:dyDescent="0.3">
      <c r="A152" s="11" t="s">
        <v>252</v>
      </c>
      <c r="B152" s="2" t="s">
        <v>281</v>
      </c>
      <c r="C152" s="4" t="s">
        <v>284</v>
      </c>
      <c r="D152" s="2" t="s">
        <v>269</v>
      </c>
      <c r="E152" s="51">
        <v>0.28999999999999998</v>
      </c>
      <c r="F152" s="51">
        <f t="shared" si="43"/>
        <v>348</v>
      </c>
      <c r="G152" s="59">
        <f t="shared" si="44"/>
        <v>1152</v>
      </c>
      <c r="H152" s="81">
        <v>1200</v>
      </c>
      <c r="I152" s="85">
        <f t="shared" si="45"/>
        <v>8640</v>
      </c>
      <c r="J152" s="3">
        <f t="shared" si="46"/>
        <v>6.9333333333333336</v>
      </c>
      <c r="K152" s="3">
        <f>+IF(B152&lt;&gt;"CH",IFERROR(VLOOKUP(A152,'Stock Loeke'!A:G,7,),),)+IF(B152="CH",IFERROR(VLOOKUP(A152,'Stock Chef'!A:J,10,),0),0)</f>
        <v>2592</v>
      </c>
      <c r="L152" s="24">
        <v>4896</v>
      </c>
      <c r="M152" s="3">
        <f t="shared" si="47"/>
        <v>7488</v>
      </c>
      <c r="N152" s="3">
        <v>1080</v>
      </c>
      <c r="O152" s="3">
        <v>72</v>
      </c>
      <c r="P152" s="3">
        <v>312</v>
      </c>
      <c r="Q152" s="59">
        <v>144</v>
      </c>
      <c r="R152" s="11" t="str">
        <f>IFERROR(+VLOOKUP(A152,Quiebres!A:Q,17,0),"")</f>
        <v/>
      </c>
      <c r="S152" s="62" t="s">
        <v>252</v>
      </c>
    </row>
    <row r="153" spans="1:19" ht="18" x14ac:dyDescent="0.3">
      <c r="A153" s="11" t="s">
        <v>71</v>
      </c>
      <c r="B153" s="2" t="s">
        <v>279</v>
      </c>
      <c r="C153" s="4" t="s">
        <v>284</v>
      </c>
      <c r="D153" s="149" t="s">
        <v>188</v>
      </c>
      <c r="E153" s="51">
        <v>0.65</v>
      </c>
      <c r="F153" s="51">
        <f t="shared" si="43"/>
        <v>0</v>
      </c>
      <c r="G153" s="59">
        <f t="shared" si="44"/>
        <v>0</v>
      </c>
      <c r="H153" s="81"/>
      <c r="I153" s="85">
        <f t="shared" si="45"/>
        <v>4800</v>
      </c>
      <c r="J153" s="3">
        <f t="shared" si="46"/>
        <v>8.64</v>
      </c>
      <c r="K153" s="3">
        <f>+IF(B153&lt;&gt;"CH",IFERROR(VLOOKUP(A153,'Stock Loeke'!A:G,7,),),)+IF(B153="CH",IFERROR(VLOOKUP(A153,'Stock Chef'!A:J,10,),0),0)</f>
        <v>5184</v>
      </c>
      <c r="L153" s="3">
        <v>0</v>
      </c>
      <c r="M153" s="3">
        <f t="shared" si="47"/>
        <v>5184</v>
      </c>
      <c r="N153" s="3">
        <v>600</v>
      </c>
      <c r="O153" s="3">
        <v>96</v>
      </c>
      <c r="P153" s="3">
        <v>504</v>
      </c>
      <c r="Q153" s="59">
        <v>624</v>
      </c>
      <c r="R153" s="11" t="str">
        <f>IFERROR(+VLOOKUP(A153,Quiebres!A:Q,17,0),"")</f>
        <v/>
      </c>
      <c r="S153" s="62" t="s">
        <v>71</v>
      </c>
    </row>
    <row r="154" spans="1:19" ht="18" x14ac:dyDescent="0.3">
      <c r="A154" s="11" t="s">
        <v>248</v>
      </c>
      <c r="B154" s="2" t="s">
        <v>281</v>
      </c>
      <c r="C154" s="4" t="s">
        <v>284</v>
      </c>
      <c r="D154" s="2" t="s">
        <v>265</v>
      </c>
      <c r="E154" s="51">
        <v>0.52</v>
      </c>
      <c r="F154" s="51">
        <f t="shared" si="43"/>
        <v>0</v>
      </c>
      <c r="G154" s="59">
        <f t="shared" si="44"/>
        <v>0</v>
      </c>
      <c r="H154" s="81"/>
      <c r="I154" s="85">
        <f t="shared" si="45"/>
        <v>192</v>
      </c>
      <c r="J154" s="3">
        <f t="shared" si="46"/>
        <v>9</v>
      </c>
      <c r="K154" s="3">
        <f>+IF(B154&lt;&gt;"CH",IFERROR(VLOOKUP(A154,'Stock Loeke'!A:G,7,),),)+IF(B154="CH",IFERROR(VLOOKUP(A154,'Stock Chef'!A:J,10,),0),0)</f>
        <v>216</v>
      </c>
      <c r="L154" s="3">
        <v>0</v>
      </c>
      <c r="M154" s="3">
        <f t="shared" si="47"/>
        <v>216</v>
      </c>
      <c r="N154" s="3">
        <v>24</v>
      </c>
      <c r="O154" s="3">
        <v>0</v>
      </c>
      <c r="P154" s="3">
        <v>0</v>
      </c>
      <c r="Q154" s="59">
        <v>0</v>
      </c>
      <c r="R154" s="11" t="str">
        <f>IFERROR(+VLOOKUP(A154,Quiebres!A:Q,17,0),"")</f>
        <v/>
      </c>
      <c r="S154" s="62" t="s">
        <v>248</v>
      </c>
    </row>
    <row r="155" spans="1:19" ht="18" x14ac:dyDescent="0.3">
      <c r="A155" s="11" t="s">
        <v>38</v>
      </c>
      <c r="B155" s="2" t="s">
        <v>279</v>
      </c>
      <c r="C155" s="4" t="s">
        <v>284</v>
      </c>
      <c r="D155" s="2" t="s">
        <v>156</v>
      </c>
      <c r="E155" s="51">
        <v>0.84</v>
      </c>
      <c r="F155" s="51">
        <f t="shared" si="43"/>
        <v>0</v>
      </c>
      <c r="G155" s="59">
        <f t="shared" si="44"/>
        <v>0</v>
      </c>
      <c r="H155" s="81"/>
      <c r="I155" s="85">
        <f t="shared" si="45"/>
        <v>2880</v>
      </c>
      <c r="J155" s="3">
        <f t="shared" si="46"/>
        <v>9.4333333333333336</v>
      </c>
      <c r="K155" s="3">
        <f>+IF(B155&lt;&gt;"CH",IFERROR(VLOOKUP(A155,'Stock Loeke'!A:G,7,),),)+IF(B155="CH",IFERROR(VLOOKUP(A155,'Stock Chef'!A:J,10,),0),0)</f>
        <v>948</v>
      </c>
      <c r="L155" s="24">
        <v>2448</v>
      </c>
      <c r="M155" s="3">
        <f t="shared" si="47"/>
        <v>3396</v>
      </c>
      <c r="N155" s="3">
        <v>360</v>
      </c>
      <c r="O155" s="3">
        <v>336</v>
      </c>
      <c r="P155" s="3">
        <v>468</v>
      </c>
      <c r="Q155" s="59">
        <v>1128</v>
      </c>
      <c r="R155" s="11" t="str">
        <f>IFERROR(+VLOOKUP(A155,Quiebres!A:Q,17,0),"")</f>
        <v/>
      </c>
      <c r="S155" s="62" t="s">
        <v>38</v>
      </c>
    </row>
    <row r="156" spans="1:19" ht="18" x14ac:dyDescent="0.3">
      <c r="A156" s="11" t="s">
        <v>55</v>
      </c>
      <c r="B156" s="2" t="s">
        <v>279</v>
      </c>
      <c r="C156" s="4" t="s">
        <v>284</v>
      </c>
      <c r="D156" s="2" t="s">
        <v>172</v>
      </c>
      <c r="E156" s="51">
        <v>0.26</v>
      </c>
      <c r="F156" s="51">
        <f t="shared" si="43"/>
        <v>0</v>
      </c>
      <c r="G156" s="59">
        <f t="shared" si="44"/>
        <v>0</v>
      </c>
      <c r="H156" s="81"/>
      <c r="I156" s="85">
        <f t="shared" si="45"/>
        <v>8640</v>
      </c>
      <c r="J156" s="3">
        <f t="shared" si="46"/>
        <v>9.9555555555555557</v>
      </c>
      <c r="K156" s="3">
        <f>+IF(B156&lt;&gt;"CH",IFERROR(VLOOKUP(A156,'Stock Loeke'!A:G,7,),),)+IF(B156="CH",IFERROR(VLOOKUP(A156,'Stock Chef'!A:J,10,),0),0)</f>
        <v>10752</v>
      </c>
      <c r="L156" s="3">
        <v>0</v>
      </c>
      <c r="M156" s="3">
        <f t="shared" si="47"/>
        <v>10752</v>
      </c>
      <c r="N156" s="3">
        <v>1080</v>
      </c>
      <c r="O156" s="3">
        <v>192</v>
      </c>
      <c r="P156" s="3">
        <v>1056</v>
      </c>
      <c r="Q156" s="59">
        <v>3216</v>
      </c>
      <c r="R156" s="11" t="str">
        <f>IFERROR(+VLOOKUP(A156,Quiebres!A:Q,17,0),"")</f>
        <v/>
      </c>
      <c r="S156" s="62" t="s">
        <v>55</v>
      </c>
    </row>
    <row r="157" spans="1:19" ht="18" x14ac:dyDescent="0.3">
      <c r="A157" s="11" t="s">
        <v>18</v>
      </c>
      <c r="B157" s="2" t="s">
        <v>279</v>
      </c>
      <c r="C157" s="4" t="s">
        <v>284</v>
      </c>
      <c r="D157" s="2" t="s">
        <v>135</v>
      </c>
      <c r="E157" s="51">
        <v>0.8</v>
      </c>
      <c r="F157" s="51">
        <f t="shared" si="43"/>
        <v>0</v>
      </c>
      <c r="G157" s="59">
        <f t="shared" si="44"/>
        <v>0</v>
      </c>
      <c r="H157" s="81"/>
      <c r="I157" s="85">
        <f t="shared" si="45"/>
        <v>960</v>
      </c>
      <c r="J157" s="3">
        <f t="shared" si="46"/>
        <v>12.9</v>
      </c>
      <c r="K157" s="3">
        <f>+IF(B157&lt;&gt;"CH",IFERROR(VLOOKUP(A157,'Stock Loeke'!A:G,7,),),)+IF(B157="CH",IFERROR(VLOOKUP(A157,'Stock Chef'!A:J,10,),0),0)</f>
        <v>1548</v>
      </c>
      <c r="L157" s="3">
        <v>0</v>
      </c>
      <c r="M157" s="3">
        <f t="shared" si="47"/>
        <v>1548</v>
      </c>
      <c r="N157" s="3">
        <v>120</v>
      </c>
      <c r="O157" s="3">
        <v>36</v>
      </c>
      <c r="P157" s="3">
        <v>36</v>
      </c>
      <c r="Q157" s="59">
        <v>60</v>
      </c>
      <c r="R157" s="11" t="str">
        <f>IFERROR(+VLOOKUP(A157,Quiebres!A:Q,17,0),"")</f>
        <v/>
      </c>
      <c r="S157" s="62" t="s">
        <v>18</v>
      </c>
    </row>
    <row r="158" spans="1:19" ht="18" x14ac:dyDescent="0.3">
      <c r="A158" s="11" t="s">
        <v>70</v>
      </c>
      <c r="B158" s="2" t="s">
        <v>279</v>
      </c>
      <c r="C158" s="4" t="s">
        <v>284</v>
      </c>
      <c r="D158" s="149" t="s">
        <v>187</v>
      </c>
      <c r="E158" s="51">
        <v>1.02</v>
      </c>
      <c r="F158" s="51">
        <f t="shared" si="43"/>
        <v>0</v>
      </c>
      <c r="G158" s="59">
        <f t="shared" si="44"/>
        <v>0</v>
      </c>
      <c r="H158" s="81"/>
      <c r="I158" s="85">
        <f t="shared" si="45"/>
        <v>2880</v>
      </c>
      <c r="J158" s="3">
        <f t="shared" si="46"/>
        <v>13.133333333333333</v>
      </c>
      <c r="K158" s="3">
        <f>+IF(B158&lt;&gt;"CH",IFERROR(VLOOKUP(A158,'Stock Loeke'!A:G,7,),),)+IF(B158="CH",IFERROR(VLOOKUP(A158,'Stock Chef'!A:J,10,),0),0)</f>
        <v>4728</v>
      </c>
      <c r="L158" s="3">
        <v>0</v>
      </c>
      <c r="M158" s="3">
        <f t="shared" si="47"/>
        <v>4728</v>
      </c>
      <c r="N158" s="3">
        <v>360</v>
      </c>
      <c r="O158" s="3">
        <v>312</v>
      </c>
      <c r="P158" s="3">
        <v>420</v>
      </c>
      <c r="Q158" s="59">
        <v>792</v>
      </c>
      <c r="R158" s="11" t="str">
        <f>IFERROR(+VLOOKUP(A158,Quiebres!A:Q,17,0),"")</f>
        <v/>
      </c>
      <c r="S158" s="62" t="s">
        <v>70</v>
      </c>
    </row>
    <row r="159" spans="1:19" ht="18" x14ac:dyDescent="0.3">
      <c r="A159" s="11" t="s">
        <v>47</v>
      </c>
      <c r="B159" s="2" t="s">
        <v>279</v>
      </c>
      <c r="C159" s="4" t="s">
        <v>284</v>
      </c>
      <c r="D159" s="2" t="s">
        <v>164</v>
      </c>
      <c r="E159" s="51">
        <v>1.1000000000000001</v>
      </c>
      <c r="F159" s="51">
        <f t="shared" si="43"/>
        <v>0</v>
      </c>
      <c r="G159" s="59">
        <f t="shared" si="44"/>
        <v>0</v>
      </c>
      <c r="H159" s="81"/>
      <c r="I159" s="85">
        <f t="shared" si="45"/>
        <v>1440</v>
      </c>
      <c r="J159" s="3">
        <f t="shared" si="46"/>
        <v>16.399999999999999</v>
      </c>
      <c r="K159" s="3">
        <f>+IF(B159&lt;&gt;"CH",IFERROR(VLOOKUP(A159,'Stock Loeke'!A:G,7,),),)+IF(B159="CH",IFERROR(VLOOKUP(A159,'Stock Chef'!A:J,10,),0),0)</f>
        <v>2952</v>
      </c>
      <c r="L159" s="3">
        <v>0</v>
      </c>
      <c r="M159" s="3">
        <f t="shared" si="47"/>
        <v>2952</v>
      </c>
      <c r="N159" s="3">
        <v>180</v>
      </c>
      <c r="O159" s="3">
        <v>132</v>
      </c>
      <c r="P159" s="3">
        <v>120</v>
      </c>
      <c r="Q159" s="59">
        <v>252</v>
      </c>
      <c r="R159" s="11" t="str">
        <f>IFERROR(+VLOOKUP(A159,Quiebres!A:Q,17,0),"")</f>
        <v/>
      </c>
      <c r="S159" s="62" t="s">
        <v>47</v>
      </c>
    </row>
    <row r="160" spans="1:19" ht="18" x14ac:dyDescent="0.3">
      <c r="A160" s="11" t="s">
        <v>49</v>
      </c>
      <c r="B160" s="2" t="s">
        <v>279</v>
      </c>
      <c r="C160" s="4" t="s">
        <v>284</v>
      </c>
      <c r="D160" s="2" t="s">
        <v>166</v>
      </c>
      <c r="E160" s="51">
        <v>0.47</v>
      </c>
      <c r="F160" s="51">
        <f t="shared" si="43"/>
        <v>0</v>
      </c>
      <c r="G160" s="59">
        <f t="shared" si="44"/>
        <v>0</v>
      </c>
      <c r="H160" s="81"/>
      <c r="I160" s="85">
        <f t="shared" si="45"/>
        <v>5184</v>
      </c>
      <c r="J160" s="3">
        <f t="shared" si="46"/>
        <v>26.444444444444443</v>
      </c>
      <c r="K160" s="3">
        <f>+IF(B160&lt;&gt;"CH",IFERROR(VLOOKUP(A160,'Stock Loeke'!A:G,7,),),)+IF(B160="CH",IFERROR(VLOOKUP(A160,'Stock Chef'!A:J,10,),0),0)</f>
        <v>0</v>
      </c>
      <c r="L160" s="24">
        <v>17136</v>
      </c>
      <c r="M160" s="3">
        <f t="shared" si="47"/>
        <v>17136</v>
      </c>
      <c r="N160" s="3">
        <v>648</v>
      </c>
      <c r="O160" s="3">
        <v>0</v>
      </c>
      <c r="P160" s="3">
        <v>660</v>
      </c>
      <c r="Q160" s="59">
        <v>1560</v>
      </c>
      <c r="R160" s="11" t="str">
        <f>IFERROR(+VLOOKUP(A160,Quiebres!A:Q,17,0),"")</f>
        <v/>
      </c>
      <c r="S160" s="62" t="s">
        <v>49</v>
      </c>
    </row>
    <row r="161" spans="1:19" ht="18" x14ac:dyDescent="0.3">
      <c r="A161" s="11" t="s">
        <v>251</v>
      </c>
      <c r="B161" s="2" t="s">
        <v>281</v>
      </c>
      <c r="C161" s="4" t="s">
        <v>284</v>
      </c>
      <c r="D161" s="2" t="s">
        <v>268</v>
      </c>
      <c r="E161" s="51">
        <v>0.26</v>
      </c>
      <c r="F161" s="51">
        <f t="shared" si="43"/>
        <v>0</v>
      </c>
      <c r="G161" s="59">
        <f t="shared" si="44"/>
        <v>0</v>
      </c>
      <c r="H161" s="81"/>
      <c r="I161" s="85">
        <f t="shared" si="45"/>
        <v>1920</v>
      </c>
      <c r="J161" s="3">
        <f t="shared" si="46"/>
        <v>48</v>
      </c>
      <c r="K161" s="3">
        <f>+IF(B161&lt;&gt;"CH",IFERROR(VLOOKUP(A161,'Stock Loeke'!A:G,7,),),)+IF(B161="CH",IFERROR(VLOOKUP(A161,'Stock Chef'!A:J,10,),0),0)</f>
        <v>11520</v>
      </c>
      <c r="L161" s="3">
        <v>0</v>
      </c>
      <c r="M161" s="3">
        <f t="shared" si="47"/>
        <v>11520</v>
      </c>
      <c r="N161" s="3">
        <v>240</v>
      </c>
      <c r="O161" s="3">
        <v>744</v>
      </c>
      <c r="P161" s="3">
        <v>360</v>
      </c>
      <c r="Q161" s="59">
        <v>48</v>
      </c>
      <c r="R161" s="11" t="str">
        <f>IFERROR(+VLOOKUP(A161,Quiebres!A:Q,17,0),"")</f>
        <v/>
      </c>
      <c r="S161" s="62" t="s">
        <v>251</v>
      </c>
    </row>
    <row r="162" spans="1:19" ht="18" x14ac:dyDescent="0.3">
      <c r="A162" s="13" t="s">
        <v>261</v>
      </c>
      <c r="B162" s="2" t="s">
        <v>281</v>
      </c>
      <c r="C162" s="4" t="s">
        <v>284</v>
      </c>
      <c r="D162" s="2" t="s">
        <v>277</v>
      </c>
      <c r="E162" s="51">
        <v>0.7</v>
      </c>
      <c r="F162" s="51">
        <f t="shared" si="43"/>
        <v>1150.8</v>
      </c>
      <c r="G162" s="59">
        <f t="shared" si="44"/>
        <v>1644</v>
      </c>
      <c r="H162" s="81" t="s">
        <v>322</v>
      </c>
      <c r="I162" s="85">
        <f t="shared" si="45"/>
        <v>1632</v>
      </c>
      <c r="J162" s="3">
        <f t="shared" si="46"/>
        <v>-5.8823529411764705E-2</v>
      </c>
      <c r="K162" s="3">
        <f>+IF(B162&lt;&gt;"CH",IFERROR(VLOOKUP(A162,'Stock Loeke'!A:G,7,),),)+IF(B162="CH",IFERROR(VLOOKUP(A162,'Stock Chef'!A:J,10,),0),0)</f>
        <v>-12</v>
      </c>
      <c r="L162" s="3">
        <v>0</v>
      </c>
      <c r="M162" s="3">
        <f t="shared" si="47"/>
        <v>-12</v>
      </c>
      <c r="N162" s="3">
        <v>204</v>
      </c>
      <c r="O162" s="3">
        <v>252</v>
      </c>
      <c r="P162" s="3">
        <v>240</v>
      </c>
      <c r="Q162" s="59">
        <v>0</v>
      </c>
      <c r="R162" s="11" t="str">
        <f>IFERROR(+VLOOKUP(A162,Quiebres!A:Q,17,0),"")</f>
        <v>discontinuo (se le vende a Dorinka)</v>
      </c>
      <c r="S162" s="62" t="s">
        <v>318</v>
      </c>
    </row>
    <row r="163" spans="1:19" ht="18" x14ac:dyDescent="0.3">
      <c r="A163" s="13" t="s">
        <v>73</v>
      </c>
      <c r="B163" s="2" t="s">
        <v>279</v>
      </c>
      <c r="C163" s="4" t="s">
        <v>284</v>
      </c>
      <c r="D163" s="2" t="s">
        <v>190</v>
      </c>
      <c r="E163" s="51">
        <v>0.52</v>
      </c>
      <c r="F163" s="51">
        <f t="shared" si="43"/>
        <v>149.76</v>
      </c>
      <c r="G163" s="59">
        <f t="shared" si="44"/>
        <v>288</v>
      </c>
      <c r="H163" s="81"/>
      <c r="I163" s="85">
        <f t="shared" si="45"/>
        <v>288</v>
      </c>
      <c r="J163" s="3">
        <f t="shared" si="46"/>
        <v>0</v>
      </c>
      <c r="K163" s="3">
        <f>+IF(B163&lt;&gt;"CH",IFERROR(VLOOKUP(A163,'Stock Loeke'!A:G,7,),),)+IF(B163="CH",IFERROR(VLOOKUP(A163,'Stock Chef'!A:J,10,),0),0)</f>
        <v>0</v>
      </c>
      <c r="L163" s="3">
        <v>0</v>
      </c>
      <c r="M163" s="3">
        <f t="shared" si="47"/>
        <v>0</v>
      </c>
      <c r="N163" s="3">
        <v>36</v>
      </c>
      <c r="O163" s="3">
        <v>0</v>
      </c>
      <c r="P163" s="3">
        <v>0</v>
      </c>
      <c r="Q163" s="59">
        <v>0</v>
      </c>
      <c r="R163" s="11" t="str">
        <f>IFERROR(+VLOOKUP(A163,Quiebres!A:Q,17,0),"")</f>
        <v/>
      </c>
      <c r="S163" s="62" t="s">
        <v>318</v>
      </c>
    </row>
    <row r="164" spans="1:19" ht="18" x14ac:dyDescent="0.3">
      <c r="A164" s="36" t="s">
        <v>255</v>
      </c>
      <c r="B164" s="32" t="s">
        <v>281</v>
      </c>
      <c r="C164" s="33" t="s">
        <v>284</v>
      </c>
      <c r="D164" s="32" t="s">
        <v>272</v>
      </c>
      <c r="E164" s="51">
        <v>0.59</v>
      </c>
      <c r="F164" s="51">
        <f t="shared" si="43"/>
        <v>3738.24</v>
      </c>
      <c r="G164" s="59">
        <f t="shared" si="44"/>
        <v>6336</v>
      </c>
      <c r="H164" s="81" t="s">
        <v>323</v>
      </c>
      <c r="I164" s="86">
        <f t="shared" si="45"/>
        <v>6336</v>
      </c>
      <c r="J164" s="3">
        <f t="shared" si="46"/>
        <v>0</v>
      </c>
      <c r="K164" s="3">
        <f>+IF(B164&lt;&gt;"CH",IFERROR(VLOOKUP(A164,'Stock Loeke'!A:G,7,),),)+IF(B164="CH",IFERROR(VLOOKUP(A164,'Stock Chef'!A:J,10,),0),0)</f>
        <v>0</v>
      </c>
      <c r="L164" s="34">
        <v>0</v>
      </c>
      <c r="M164" s="34">
        <f t="shared" si="47"/>
        <v>0</v>
      </c>
      <c r="N164" s="34">
        <v>792</v>
      </c>
      <c r="O164" s="34">
        <v>0</v>
      </c>
      <c r="P164" s="34">
        <v>0</v>
      </c>
      <c r="Q164" s="60">
        <v>0</v>
      </c>
      <c r="R164" s="11" t="str">
        <f>IFERROR(+VLOOKUP(A164,Quiebres!A:Q,17,0),"")</f>
        <v>discontinuo</v>
      </c>
      <c r="S164" s="62" t="s">
        <v>318</v>
      </c>
    </row>
    <row r="165" spans="1:19" ht="18" x14ac:dyDescent="0.3">
      <c r="A165" s="13" t="s">
        <v>15</v>
      </c>
      <c r="B165" s="2" t="s">
        <v>280</v>
      </c>
      <c r="C165" s="4" t="s">
        <v>284</v>
      </c>
      <c r="D165" s="2" t="s">
        <v>132</v>
      </c>
      <c r="E165" s="51">
        <v>0.26</v>
      </c>
      <c r="F165" s="51">
        <f t="shared" si="43"/>
        <v>998.40000000000009</v>
      </c>
      <c r="G165" s="59">
        <f t="shared" si="44"/>
        <v>3840</v>
      </c>
      <c r="H165" s="81" t="s">
        <v>324</v>
      </c>
      <c r="I165" s="85">
        <f t="shared" si="45"/>
        <v>3840</v>
      </c>
      <c r="J165" s="3">
        <f t="shared" si="46"/>
        <v>0</v>
      </c>
      <c r="K165" s="3">
        <f>+IF(B165&lt;&gt;"CH",IFERROR(VLOOKUP(A165,'Stock Loeke'!A:G,7,),),)+IF(B165="CH",IFERROR(VLOOKUP(A165,'Stock Chef'!A:J,10,),0),0)</f>
        <v>0</v>
      </c>
      <c r="L165" s="3">
        <v>0</v>
      </c>
      <c r="M165" s="3">
        <f t="shared" si="47"/>
        <v>0</v>
      </c>
      <c r="N165" s="3">
        <v>480</v>
      </c>
      <c r="O165" s="3">
        <v>0</v>
      </c>
      <c r="P165" s="3">
        <v>0</v>
      </c>
      <c r="Q165" s="59">
        <v>0</v>
      </c>
      <c r="R165" s="11" t="str">
        <f>IFERROR(+VLOOKUP(A165,Quiebres!A:Q,17,0),"")</f>
        <v/>
      </c>
      <c r="S165" s="62" t="s">
        <v>318</v>
      </c>
    </row>
    <row r="166" spans="1:19" ht="18" x14ac:dyDescent="0.3">
      <c r="A166" s="13" t="s">
        <v>249</v>
      </c>
      <c r="B166" s="2" t="s">
        <v>281</v>
      </c>
      <c r="C166" s="4" t="s">
        <v>284</v>
      </c>
      <c r="D166" s="2" t="s">
        <v>266</v>
      </c>
      <c r="E166" s="51">
        <v>0.49</v>
      </c>
      <c r="F166" s="51">
        <f t="shared" si="43"/>
        <v>940.8</v>
      </c>
      <c r="G166" s="59">
        <f t="shared" si="44"/>
        <v>1920</v>
      </c>
      <c r="H166" s="81" t="s">
        <v>325</v>
      </c>
      <c r="I166" s="85">
        <f t="shared" si="45"/>
        <v>1920</v>
      </c>
      <c r="J166" s="3">
        <f t="shared" si="46"/>
        <v>0</v>
      </c>
      <c r="K166" s="3">
        <f>+IF(B166&lt;&gt;"CH",IFERROR(VLOOKUP(A166,'Stock Loeke'!A:G,7,),),)+IF(B166="CH",IFERROR(VLOOKUP(A166,'Stock Chef'!A:J,10,),0),0)</f>
        <v>0</v>
      </c>
      <c r="L166" s="3">
        <v>0</v>
      </c>
      <c r="M166" s="3">
        <f t="shared" si="47"/>
        <v>0</v>
      </c>
      <c r="N166" s="3">
        <v>240</v>
      </c>
      <c r="O166" s="3">
        <v>0</v>
      </c>
      <c r="P166" s="3">
        <v>0</v>
      </c>
      <c r="Q166" s="59">
        <v>0</v>
      </c>
      <c r="R166" s="11" t="str">
        <f>IFERROR(+VLOOKUP(A166,Quiebres!A:Q,17,0),"")</f>
        <v>discontinuo</v>
      </c>
      <c r="S166" s="62" t="s">
        <v>318</v>
      </c>
    </row>
    <row r="167" spans="1:19" ht="18" x14ac:dyDescent="0.3">
      <c r="A167" s="13" t="s">
        <v>37</v>
      </c>
      <c r="B167" s="2" t="s">
        <v>279</v>
      </c>
      <c r="C167" s="4" t="s">
        <v>284</v>
      </c>
      <c r="D167" s="2" t="s">
        <v>154</v>
      </c>
      <c r="E167" s="51">
        <v>0.59</v>
      </c>
      <c r="F167" s="51">
        <f t="shared" si="43"/>
        <v>0</v>
      </c>
      <c r="G167" s="59">
        <f t="shared" si="44"/>
        <v>0</v>
      </c>
      <c r="H167" s="81"/>
      <c r="I167" s="85">
        <f t="shared" si="45"/>
        <v>0</v>
      </c>
      <c r="J167" s="3" t="str">
        <f t="shared" si="46"/>
        <v/>
      </c>
      <c r="K167" s="3">
        <f>+IF(B167&lt;&gt;"CH",IFERROR(VLOOKUP(A167,'Stock Loeke'!A:G,7,),),)+IF(B167="CH",IFERROR(VLOOKUP(A167,'Stock Chef'!A:J,10,),0),0)</f>
        <v>0</v>
      </c>
      <c r="L167" s="3">
        <v>0</v>
      </c>
      <c r="M167" s="3">
        <f t="shared" si="47"/>
        <v>0</v>
      </c>
      <c r="N167" s="3">
        <v>0</v>
      </c>
      <c r="O167" s="3">
        <v>0</v>
      </c>
      <c r="P167" s="3">
        <v>0</v>
      </c>
      <c r="Q167" s="59">
        <v>0</v>
      </c>
      <c r="R167" s="11" t="str">
        <f>IFERROR(+VLOOKUP(A167,Quiebres!A:Q,17,0),"")</f>
        <v/>
      </c>
      <c r="S167" s="62" t="s">
        <v>318</v>
      </c>
    </row>
    <row r="168" spans="1:19" ht="18" x14ac:dyDescent="0.3">
      <c r="A168" s="13" t="s">
        <v>1174</v>
      </c>
      <c r="B168" s="2" t="s">
        <v>279</v>
      </c>
      <c r="C168" s="4" t="s">
        <v>284</v>
      </c>
      <c r="D168" s="2" t="s">
        <v>155</v>
      </c>
      <c r="E168" s="51">
        <v>0.5</v>
      </c>
      <c r="F168" s="51">
        <f t="shared" si="43"/>
        <v>0</v>
      </c>
      <c r="G168" s="59">
        <f t="shared" si="44"/>
        <v>0</v>
      </c>
      <c r="H168" s="81"/>
      <c r="I168" s="85">
        <f t="shared" si="45"/>
        <v>0</v>
      </c>
      <c r="J168" s="3" t="str">
        <f t="shared" si="46"/>
        <v/>
      </c>
      <c r="K168" s="3">
        <f>+IF(B168&lt;&gt;"CH",IFERROR(VLOOKUP(A168,'Stock Loeke'!A:G,7,),),)+IF(B168="CH",IFERROR(VLOOKUP(A168,'Stock Chef'!A:J,10,),0),0)</f>
        <v>0</v>
      </c>
      <c r="L168" s="3">
        <v>0</v>
      </c>
      <c r="M168" s="3">
        <f t="shared" si="47"/>
        <v>0</v>
      </c>
      <c r="N168" s="3">
        <v>0</v>
      </c>
      <c r="O168" s="3">
        <v>0</v>
      </c>
      <c r="P168" s="3">
        <v>0</v>
      </c>
      <c r="Q168" s="59">
        <v>0</v>
      </c>
      <c r="R168" s="11" t="str">
        <f>IFERROR(+VLOOKUP(A168,Quiebres!A:Q,17,0),"")</f>
        <v/>
      </c>
      <c r="S168" s="62" t="s">
        <v>318</v>
      </c>
    </row>
    <row r="169" spans="1:19" ht="18" customHeight="1" x14ac:dyDescent="0.3">
      <c r="A169" s="13" t="s">
        <v>72</v>
      </c>
      <c r="B169" s="2" t="s">
        <v>279</v>
      </c>
      <c r="C169" s="4" t="s">
        <v>284</v>
      </c>
      <c r="D169" s="149" t="s">
        <v>189</v>
      </c>
      <c r="E169" s="51">
        <v>2.02</v>
      </c>
      <c r="F169" s="51">
        <f t="shared" si="43"/>
        <v>0</v>
      </c>
      <c r="G169" s="59">
        <f t="shared" si="44"/>
        <v>0</v>
      </c>
      <c r="H169" s="81"/>
      <c r="I169" s="85">
        <f t="shared" si="45"/>
        <v>0</v>
      </c>
      <c r="J169" s="3" t="str">
        <f t="shared" si="46"/>
        <v/>
      </c>
      <c r="K169" s="3">
        <f>+IF(B169&lt;&gt;"CH",IFERROR(VLOOKUP(A169,'Stock Loeke'!A:G,7,),),)+IF(B169="CH",IFERROR(VLOOKUP(A169,'Stock Chef'!A:J,10,),0),0)</f>
        <v>0</v>
      </c>
      <c r="L169" s="3">
        <v>0</v>
      </c>
      <c r="M169" s="3">
        <f t="shared" si="47"/>
        <v>0</v>
      </c>
      <c r="N169" s="3">
        <v>0</v>
      </c>
      <c r="O169" s="3">
        <v>0</v>
      </c>
      <c r="P169" s="3">
        <v>0</v>
      </c>
      <c r="Q169" s="59">
        <v>0</v>
      </c>
      <c r="R169" s="11" t="str">
        <f>IFERROR(+VLOOKUP(A169,Quiebres!A:Q,17,0),"")</f>
        <v/>
      </c>
      <c r="S169" s="62" t="s">
        <v>318</v>
      </c>
    </row>
    <row r="170" spans="1:19" ht="18" x14ac:dyDescent="0.3">
      <c r="A170" s="13" t="s">
        <v>74</v>
      </c>
      <c r="B170" s="2" t="s">
        <v>279</v>
      </c>
      <c r="C170" s="4" t="s">
        <v>284</v>
      </c>
      <c r="D170" s="2" t="s">
        <v>191</v>
      </c>
      <c r="E170" s="51">
        <v>0.8</v>
      </c>
      <c r="F170" s="51">
        <f t="shared" si="43"/>
        <v>0</v>
      </c>
      <c r="G170" s="59">
        <f t="shared" si="44"/>
        <v>0</v>
      </c>
      <c r="H170" s="81"/>
      <c r="I170" s="85">
        <f t="shared" si="45"/>
        <v>0</v>
      </c>
      <c r="J170" s="3" t="str">
        <f t="shared" si="46"/>
        <v/>
      </c>
      <c r="K170" s="3">
        <f>+IF(B170&lt;&gt;"CH",IFERROR(VLOOKUP(A170,'Stock Loeke'!A:G,7,),),)+IF(B170="CH",IFERROR(VLOOKUP(A170,'Stock Chef'!A:J,10,),0),0)</f>
        <v>0</v>
      </c>
      <c r="L170" s="3">
        <v>0</v>
      </c>
      <c r="M170" s="3">
        <f t="shared" si="47"/>
        <v>0</v>
      </c>
      <c r="N170" s="3">
        <v>0</v>
      </c>
      <c r="O170" s="3">
        <v>0</v>
      </c>
      <c r="P170" s="3">
        <v>0</v>
      </c>
      <c r="Q170" s="59">
        <v>0</v>
      </c>
      <c r="R170" s="11" t="str">
        <f>IFERROR(+VLOOKUP(A170,Quiebres!A:Q,17,0),"")</f>
        <v/>
      </c>
      <c r="S170" s="62" t="s">
        <v>318</v>
      </c>
    </row>
    <row r="171" spans="1:19" ht="18.600000000000001" thickBot="1" x14ac:dyDescent="0.35">
      <c r="A171" s="28">
        <v>1546903</v>
      </c>
      <c r="B171" s="29" t="s">
        <v>279</v>
      </c>
      <c r="C171" s="16" t="s">
        <v>284</v>
      </c>
      <c r="D171" s="15" t="s">
        <v>292</v>
      </c>
      <c r="E171" s="70">
        <v>0.42</v>
      </c>
      <c r="F171" s="70">
        <f t="shared" si="43"/>
        <v>8917.44</v>
      </c>
      <c r="G171" s="61">
        <f t="shared" si="44"/>
        <v>21232</v>
      </c>
      <c r="H171" s="82"/>
      <c r="I171" s="85">
        <f t="shared" si="45"/>
        <v>64000</v>
      </c>
      <c r="J171" s="17">
        <f t="shared" si="46"/>
        <v>5.3460000000000001</v>
      </c>
      <c r="K171" s="17">
        <v>0</v>
      </c>
      <c r="L171" s="30">
        <v>42768</v>
      </c>
      <c r="M171" s="3">
        <f t="shared" si="47"/>
        <v>42768</v>
      </c>
      <c r="N171" s="17">
        <v>8000</v>
      </c>
      <c r="O171" s="17"/>
      <c r="P171" s="17"/>
      <c r="Q171" s="61"/>
      <c r="R171" s="19" t="str">
        <f>IFERROR(+VLOOKUP(A171,Quiebres!A:Q,17,0),"")</f>
        <v/>
      </c>
      <c r="S171" s="64" t="s">
        <v>318</v>
      </c>
    </row>
    <row r="172" spans="1:19" ht="15" thickBot="1" x14ac:dyDescent="0.35">
      <c r="C172"/>
      <c r="E172"/>
      <c r="F172"/>
    </row>
    <row r="173" spans="1:19" ht="23.25" customHeight="1" thickBot="1" x14ac:dyDescent="0.35">
      <c r="C173"/>
      <c r="E173" s="66" t="s">
        <v>290</v>
      </c>
      <c r="F173" s="76">
        <f>+SUM(F175:F181)</f>
        <v>6381.2520000000004</v>
      </c>
      <c r="O173" s="155" t="s">
        <v>10</v>
      </c>
      <c r="P173" s="156"/>
      <c r="Q173" s="157"/>
    </row>
    <row r="174" spans="1:19" ht="31.8" thickBot="1" x14ac:dyDescent="0.35">
      <c r="A174" s="20" t="s">
        <v>1</v>
      </c>
      <c r="B174" s="23" t="s">
        <v>278</v>
      </c>
      <c r="C174" s="21" t="s">
        <v>0</v>
      </c>
      <c r="D174" s="21" t="s">
        <v>2</v>
      </c>
      <c r="E174" s="53" t="s">
        <v>315</v>
      </c>
      <c r="F174" s="50" t="s">
        <v>314</v>
      </c>
      <c r="G174" s="57" t="s">
        <v>3</v>
      </c>
      <c r="H174" s="88" t="s">
        <v>321</v>
      </c>
      <c r="I174" s="80" t="s">
        <v>4</v>
      </c>
      <c r="J174" s="21" t="s">
        <v>299</v>
      </c>
      <c r="K174" s="21" t="s">
        <v>5</v>
      </c>
      <c r="L174" s="21" t="s">
        <v>6</v>
      </c>
      <c r="M174" s="21" t="s">
        <v>7</v>
      </c>
      <c r="N174" s="21" t="s">
        <v>8</v>
      </c>
      <c r="O174" s="21" t="s">
        <v>245</v>
      </c>
      <c r="P174" s="21" t="s">
        <v>246</v>
      </c>
      <c r="Q174" s="57" t="s">
        <v>247</v>
      </c>
      <c r="R174" s="74" t="s">
        <v>312</v>
      </c>
      <c r="S174" s="75" t="s">
        <v>317</v>
      </c>
    </row>
    <row r="175" spans="1:19" ht="18" x14ac:dyDescent="0.3">
      <c r="A175" s="71" t="s">
        <v>57</v>
      </c>
      <c r="B175" s="7" t="s">
        <v>279</v>
      </c>
      <c r="C175" s="8" t="s">
        <v>290</v>
      </c>
      <c r="D175" s="7" t="s">
        <v>174</v>
      </c>
      <c r="E175" s="68">
        <v>0.44600000000000001</v>
      </c>
      <c r="F175" s="68">
        <f t="shared" ref="F175:F181" si="48">+E175*IF(ISNUMBER(H175),H175,G175)</f>
        <v>326.47199999999998</v>
      </c>
      <c r="G175" s="58">
        <f t="shared" ref="G175:G181" si="49">IF((+I175-M175)&lt;0,0,+I175-M175)</f>
        <v>732</v>
      </c>
      <c r="H175" s="83"/>
      <c r="I175" s="84">
        <f t="shared" ref="I175:I181" si="50">+$I$3*N175</f>
        <v>960</v>
      </c>
      <c r="J175" s="9">
        <f t="shared" ref="J175:J181" si="51">IFERROR(+M175/N175,"")</f>
        <v>1.9</v>
      </c>
      <c r="K175" s="9">
        <f>+IF(B175&lt;&gt;"CH",IFERROR(VLOOKUP(A175,'Stock Loeke'!A:G,7,),),)+IF(B175="CH",IFERROR(VLOOKUP(A175,'Stock Chef'!A:J,10,),0),0)</f>
        <v>228</v>
      </c>
      <c r="L175" s="9">
        <v>0</v>
      </c>
      <c r="M175" s="9">
        <f t="shared" ref="M175:M181" si="52">+K175+L175</f>
        <v>228</v>
      </c>
      <c r="N175" s="9">
        <v>120</v>
      </c>
      <c r="O175" s="9">
        <v>0</v>
      </c>
      <c r="P175" s="9">
        <v>0</v>
      </c>
      <c r="Q175" s="58">
        <v>84</v>
      </c>
      <c r="R175" s="6"/>
      <c r="S175" s="69" t="s">
        <v>318</v>
      </c>
    </row>
    <row r="176" spans="1:19" ht="18" x14ac:dyDescent="0.3">
      <c r="A176" s="11" t="s">
        <v>262</v>
      </c>
      <c r="B176" s="2" t="s">
        <v>281</v>
      </c>
      <c r="C176" s="4" t="s">
        <v>290</v>
      </c>
      <c r="D176" s="2" t="s">
        <v>173</v>
      </c>
      <c r="E176" s="56">
        <v>4.4999999999999998E-2</v>
      </c>
      <c r="F176" s="56">
        <f t="shared" si="48"/>
        <v>68.58</v>
      </c>
      <c r="G176" s="59">
        <f t="shared" si="49"/>
        <v>1524</v>
      </c>
      <c r="H176" s="81"/>
      <c r="I176" s="85">
        <f t="shared" si="50"/>
        <v>2016</v>
      </c>
      <c r="J176" s="3">
        <f t="shared" si="51"/>
        <v>1.9523809523809523</v>
      </c>
      <c r="K176" s="3">
        <f>+IF(B176&lt;&gt;"CH",IFERROR(VLOOKUP(A176,'Stock Loeke'!A:G,7,),),)+IF(B176="CH",IFERROR(VLOOKUP(A176,'Stock Chef'!A:J,10,),0),0)</f>
        <v>492</v>
      </c>
      <c r="L176" s="3">
        <v>0</v>
      </c>
      <c r="M176" s="3">
        <f t="shared" si="52"/>
        <v>492</v>
      </c>
      <c r="N176" s="3">
        <v>252</v>
      </c>
      <c r="O176" s="3">
        <v>0</v>
      </c>
      <c r="P176" s="3">
        <v>72</v>
      </c>
      <c r="Q176" s="59">
        <v>36</v>
      </c>
      <c r="R176" s="11"/>
      <c r="S176" s="62" t="s">
        <v>262</v>
      </c>
    </row>
    <row r="177" spans="1:19" ht="18.600000000000001" thickBot="1" x14ac:dyDescent="0.35">
      <c r="A177" s="19" t="s">
        <v>56</v>
      </c>
      <c r="B177" s="15" t="s">
        <v>279</v>
      </c>
      <c r="C177" s="16" t="s">
        <v>290</v>
      </c>
      <c r="D177" s="15" t="s">
        <v>173</v>
      </c>
      <c r="E177" s="70">
        <v>4.4600000000000001E-2</v>
      </c>
      <c r="F177" s="70">
        <f>+E177*IF(ISNUMBER(H177),H177,G177)</f>
        <v>0</v>
      </c>
      <c r="G177" s="61">
        <f>IF((+I177-M177)&lt;0,0,+I177-M177)</f>
        <v>0</v>
      </c>
      <c r="H177" s="82"/>
      <c r="I177" s="87">
        <f>+$I$3*N177</f>
        <v>4800</v>
      </c>
      <c r="J177" s="17">
        <f>IFERROR(+M177/N177,"")</f>
        <v>11.26</v>
      </c>
      <c r="K177" s="17">
        <f>+IF(B177&lt;&gt;"CH",IFERROR(VLOOKUP(A177,'Stock Loeke'!A:G,7,),),)+IF(B177="CH",IFERROR(VLOOKUP(A177,'Stock Chef'!A:J,10,),0),0)</f>
        <v>6756</v>
      </c>
      <c r="L177" s="17">
        <v>0</v>
      </c>
      <c r="M177" s="17">
        <f>+K177+L177</f>
        <v>6756</v>
      </c>
      <c r="N177" s="17">
        <v>600</v>
      </c>
      <c r="O177" s="17">
        <v>732</v>
      </c>
      <c r="P177" s="17">
        <v>1596</v>
      </c>
      <c r="Q177" s="61">
        <v>2304</v>
      </c>
      <c r="R177" s="19" t="str">
        <f>IFERROR(+VLOOKUP(A177,Quiebres!A:Q,17,0),"")</f>
        <v/>
      </c>
      <c r="S177" s="64" t="s">
        <v>56</v>
      </c>
    </row>
    <row r="178" spans="1:19" ht="18" x14ac:dyDescent="0.3">
      <c r="A178" s="31" t="s">
        <v>51</v>
      </c>
      <c r="B178" s="32" t="s">
        <v>279</v>
      </c>
      <c r="C178" s="33" t="s">
        <v>290</v>
      </c>
      <c r="D178" s="32" t="s">
        <v>168</v>
      </c>
      <c r="E178" s="72">
        <v>0.15190000000000001</v>
      </c>
      <c r="F178" s="72">
        <f t="shared" si="48"/>
        <v>2734.2000000000003</v>
      </c>
      <c r="G178" s="60">
        <f t="shared" si="49"/>
        <v>17016</v>
      </c>
      <c r="H178" s="90">
        <v>18000</v>
      </c>
      <c r="I178" s="86">
        <f t="shared" si="50"/>
        <v>27456</v>
      </c>
      <c r="J178" s="34">
        <f t="shared" si="51"/>
        <v>3.0419580419580421</v>
      </c>
      <c r="K178" s="34">
        <f>+IF(B178&lt;&gt;"CH",IFERROR(VLOOKUP(A178,'Stock Loeke'!A:G,7,),),)+IF(B178="CH",IFERROR(VLOOKUP(A178,'Stock Chef'!A:J,10,),0),0)</f>
        <v>10440</v>
      </c>
      <c r="L178" s="34">
        <v>0</v>
      </c>
      <c r="M178" s="34">
        <f t="shared" si="52"/>
        <v>10440</v>
      </c>
      <c r="N178" s="34">
        <v>3432</v>
      </c>
      <c r="O178" s="34">
        <v>3096</v>
      </c>
      <c r="P178" s="34">
        <v>3384</v>
      </c>
      <c r="Q178" s="60">
        <v>1728</v>
      </c>
      <c r="R178" s="31" t="str">
        <f>IFERROR(+VLOOKUP(A178,Quiebres!A:Q,17,0),"")</f>
        <v>mayor consumo (Coto)</v>
      </c>
      <c r="S178" s="73" t="s">
        <v>51</v>
      </c>
    </row>
    <row r="179" spans="1:19" ht="18" x14ac:dyDescent="0.3">
      <c r="A179" s="11" t="s">
        <v>48</v>
      </c>
      <c r="B179" s="2" t="s">
        <v>279</v>
      </c>
      <c r="C179" s="4" t="s">
        <v>290</v>
      </c>
      <c r="D179" s="2" t="s">
        <v>165</v>
      </c>
      <c r="E179" s="51">
        <v>0.33</v>
      </c>
      <c r="F179" s="51">
        <f t="shared" si="48"/>
        <v>1188</v>
      </c>
      <c r="G179" s="59">
        <f t="shared" si="49"/>
        <v>2220</v>
      </c>
      <c r="H179" s="81">
        <v>3600</v>
      </c>
      <c r="I179" s="85">
        <f t="shared" si="50"/>
        <v>3840</v>
      </c>
      <c r="J179" s="3">
        <f t="shared" si="51"/>
        <v>3.375</v>
      </c>
      <c r="K179" s="3">
        <f>+IF(B179&lt;&gt;"CH",IFERROR(VLOOKUP(A179,'Stock Loeke'!A:G,7,),),)+IF(B179="CH",IFERROR(VLOOKUP(A179,'Stock Chef'!A:J,10,),0),0)</f>
        <v>1620</v>
      </c>
      <c r="L179" s="3">
        <v>0</v>
      </c>
      <c r="M179" s="3">
        <f t="shared" si="52"/>
        <v>1620</v>
      </c>
      <c r="N179" s="3">
        <v>480</v>
      </c>
      <c r="O179" s="3">
        <v>360</v>
      </c>
      <c r="P179" s="3">
        <v>630</v>
      </c>
      <c r="Q179" s="59">
        <v>708</v>
      </c>
      <c r="R179" s="11"/>
      <c r="S179" s="62" t="s">
        <v>48</v>
      </c>
    </row>
    <row r="180" spans="1:19" ht="18" x14ac:dyDescent="0.3">
      <c r="A180" s="11" t="s">
        <v>52</v>
      </c>
      <c r="B180" s="2" t="s">
        <v>279</v>
      </c>
      <c r="C180" s="4" t="s">
        <v>290</v>
      </c>
      <c r="D180" s="2" t="s">
        <v>169</v>
      </c>
      <c r="E180" s="51">
        <v>0.25800000000000001</v>
      </c>
      <c r="F180" s="51">
        <f t="shared" si="48"/>
        <v>2064</v>
      </c>
      <c r="G180" s="59">
        <f t="shared" si="49"/>
        <v>7513</v>
      </c>
      <c r="H180" s="81">
        <v>8000</v>
      </c>
      <c r="I180" s="85">
        <f t="shared" si="50"/>
        <v>15448</v>
      </c>
      <c r="J180" s="3">
        <f t="shared" si="51"/>
        <v>4.1092698083894357</v>
      </c>
      <c r="K180" s="3">
        <f>+IF(B180&lt;&gt;"CH",IFERROR(VLOOKUP(A180,'Stock Loeke'!A:G,7,),),)+IF(B180="CH",IFERROR(VLOOKUP(A180,'Stock Chef'!A:J,10,),0),0)</f>
        <v>7935</v>
      </c>
      <c r="L180" s="3">
        <v>0</v>
      </c>
      <c r="M180" s="3">
        <f t="shared" si="52"/>
        <v>7935</v>
      </c>
      <c r="N180" s="3">
        <v>1931</v>
      </c>
      <c r="O180" s="3">
        <v>1875</v>
      </c>
      <c r="P180" s="3">
        <v>2535</v>
      </c>
      <c r="Q180" s="59">
        <v>2445</v>
      </c>
      <c r="R180" s="11"/>
      <c r="S180" s="62" t="s">
        <v>52</v>
      </c>
    </row>
    <row r="181" spans="1:19" ht="18" x14ac:dyDescent="0.3">
      <c r="A181" s="11" t="s">
        <v>53</v>
      </c>
      <c r="B181" s="2" t="s">
        <v>279</v>
      </c>
      <c r="C181" s="4" t="s">
        <v>290</v>
      </c>
      <c r="D181" s="2" t="s">
        <v>170</v>
      </c>
      <c r="E181" s="51">
        <v>0.63800000000000001</v>
      </c>
      <c r="F181" s="51">
        <f t="shared" si="48"/>
        <v>0</v>
      </c>
      <c r="G181" s="59">
        <f t="shared" si="49"/>
        <v>0</v>
      </c>
      <c r="H181" s="81"/>
      <c r="I181" s="85">
        <f t="shared" si="50"/>
        <v>3600</v>
      </c>
      <c r="J181" s="3">
        <f t="shared" si="51"/>
        <v>9.94</v>
      </c>
      <c r="K181" s="3">
        <f>+IF(B181&lt;&gt;"CH",IFERROR(VLOOKUP(A181,'Stock Loeke'!A:G,7,),),)+IF(B181="CH",IFERROR(VLOOKUP(A181,'Stock Chef'!A:J,10,),0),0)</f>
        <v>4473</v>
      </c>
      <c r="L181" s="3">
        <v>0</v>
      </c>
      <c r="M181" s="3">
        <f t="shared" si="52"/>
        <v>4473</v>
      </c>
      <c r="N181" s="3">
        <v>450</v>
      </c>
      <c r="O181" s="3">
        <v>576</v>
      </c>
      <c r="P181" s="3">
        <v>570</v>
      </c>
      <c r="Q181" s="59">
        <v>570</v>
      </c>
      <c r="R181" s="11" t="str">
        <f>IFERROR(+VLOOKUP(A181,Quiebres!A:Q,17,0),"")</f>
        <v/>
      </c>
      <c r="S181" s="62" t="s">
        <v>53</v>
      </c>
    </row>
    <row r="182" spans="1:19" ht="15" thickBot="1" x14ac:dyDescent="0.35"/>
    <row r="183" spans="1:19" ht="47.4" thickBot="1" x14ac:dyDescent="0.35">
      <c r="C183"/>
      <c r="E183" s="66" t="s">
        <v>1164</v>
      </c>
      <c r="F183" s="76">
        <f>+SUM(F185:F191)</f>
        <v>0</v>
      </c>
    </row>
    <row r="184" spans="1:19" ht="31.8" thickBot="1" x14ac:dyDescent="0.35">
      <c r="A184" s="20" t="s">
        <v>1</v>
      </c>
      <c r="B184" s="23" t="s">
        <v>278</v>
      </c>
      <c r="C184" s="21" t="s">
        <v>0</v>
      </c>
      <c r="D184" s="21" t="s">
        <v>2</v>
      </c>
      <c r="E184" s="53" t="s">
        <v>315</v>
      </c>
      <c r="F184" s="50" t="s">
        <v>314</v>
      </c>
      <c r="G184" s="57" t="s">
        <v>3</v>
      </c>
      <c r="H184" s="88" t="s">
        <v>321</v>
      </c>
      <c r="I184" s="80" t="s">
        <v>4</v>
      </c>
      <c r="J184" s="21" t="s">
        <v>299</v>
      </c>
      <c r="K184" s="21" t="s">
        <v>5</v>
      </c>
      <c r="L184" s="21" t="s">
        <v>6</v>
      </c>
      <c r="M184" s="21" t="s">
        <v>7</v>
      </c>
      <c r="N184" s="21" t="s">
        <v>8</v>
      </c>
      <c r="O184" s="21" t="s">
        <v>245</v>
      </c>
      <c r="P184" s="21" t="s">
        <v>246</v>
      </c>
      <c r="Q184" s="57" t="s">
        <v>247</v>
      </c>
      <c r="R184" s="74" t="s">
        <v>312</v>
      </c>
      <c r="S184" s="75" t="s">
        <v>317</v>
      </c>
    </row>
    <row r="185" spans="1:19" ht="18.600000000000001" thickBot="1" x14ac:dyDescent="0.35">
      <c r="A185" s="28" t="s">
        <v>1165</v>
      </c>
      <c r="B185" s="29" t="s">
        <v>279</v>
      </c>
      <c r="C185" s="8" t="s">
        <v>1164</v>
      </c>
      <c r="D185" s="7" t="s">
        <v>1166</v>
      </c>
      <c r="E185" s="68">
        <v>7.0000000000000007E-2</v>
      </c>
      <c r="F185" s="68">
        <f t="shared" ref="F185" si="53">+E185*IF(ISNUMBER(H185),H185,G185)</f>
        <v>0</v>
      </c>
      <c r="G185" s="58">
        <f t="shared" ref="G185" si="54">IF((+I185-M185)&lt;0,0,+I185-M185)</f>
        <v>0</v>
      </c>
      <c r="H185" s="83"/>
      <c r="I185" s="84">
        <f t="shared" ref="I185" si="55">+$I$3*N185</f>
        <v>160864</v>
      </c>
      <c r="J185" s="9">
        <f t="shared" ref="J185" si="56">IFERROR(+M185/N185,"")</f>
        <v>13.049532524368411</v>
      </c>
      <c r="K185" s="9">
        <f>230400+32000</f>
        <v>262400</v>
      </c>
      <c r="L185" s="9">
        <v>0</v>
      </c>
      <c r="M185" s="9">
        <f t="shared" ref="M185" si="57">+K185+L185</f>
        <v>262400</v>
      </c>
      <c r="N185" s="9">
        <f>2136+8000+6996+2976</f>
        <v>20108</v>
      </c>
      <c r="O185" s="9"/>
      <c r="P185" s="9"/>
      <c r="Q185" s="58"/>
      <c r="R185" s="6" t="s">
        <v>1167</v>
      </c>
      <c r="S185" s="69" t="s">
        <v>318</v>
      </c>
    </row>
  </sheetData>
  <autoFilter ref="A4:S181" xr:uid="{13A7531C-60AB-4769-99AF-7157A13DB3B6}"/>
  <sortState xmlns:xlrd2="http://schemas.microsoft.com/office/spreadsheetml/2017/richdata2" ref="A175:T181">
    <sortCondition ref="J175:J181"/>
  </sortState>
  <mergeCells count="31">
    <mergeCell ref="A1:Q1"/>
    <mergeCell ref="O3:Q3"/>
    <mergeCell ref="O68:Q68"/>
    <mergeCell ref="O86:Q86"/>
    <mergeCell ref="O119:Q119"/>
    <mergeCell ref="J70:J72"/>
    <mergeCell ref="I70:I72"/>
    <mergeCell ref="G70:G72"/>
    <mergeCell ref="F70:F72"/>
    <mergeCell ref="H70:H72"/>
    <mergeCell ref="G76:G78"/>
    <mergeCell ref="H76:H78"/>
    <mergeCell ref="I76:I78"/>
    <mergeCell ref="F76:F78"/>
    <mergeCell ref="M70:M72"/>
    <mergeCell ref="M76:M78"/>
    <mergeCell ref="J76:J78"/>
    <mergeCell ref="O139:Q139"/>
    <mergeCell ref="O173:Q173"/>
    <mergeCell ref="M79:M81"/>
    <mergeCell ref="F82:F84"/>
    <mergeCell ref="G82:G84"/>
    <mergeCell ref="H82:H84"/>
    <mergeCell ref="I82:I84"/>
    <mergeCell ref="J82:J84"/>
    <mergeCell ref="M82:M84"/>
    <mergeCell ref="F79:F81"/>
    <mergeCell ref="G79:G81"/>
    <mergeCell ref="H79:H81"/>
    <mergeCell ref="I79:I81"/>
    <mergeCell ref="J79:J81"/>
  </mergeCells>
  <phoneticPr fontId="14" type="noConversion"/>
  <pageMargins left="0.23622047244094491" right="0.23622047244094491" top="0.74803149606299213" bottom="0.74803149606299213" header="0.31496062992125984" footer="0.31496062992125984"/>
  <pageSetup paperSize="9" fitToHeight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5E3D-92DF-4620-A5E9-80370D780D64}">
  <dimension ref="A1:J291"/>
  <sheetViews>
    <sheetView topLeftCell="A17" workbookViewId="0">
      <selection activeCell="B30" sqref="B30"/>
    </sheetView>
  </sheetViews>
  <sheetFormatPr baseColWidth="10" defaultColWidth="6.88671875" defaultRowHeight="14.4" x14ac:dyDescent="0.3"/>
  <cols>
    <col min="1" max="1" width="12.33203125" style="92" bestFit="1" customWidth="1"/>
    <col min="2" max="2" width="30.6640625" style="92" bestFit="1" customWidth="1"/>
    <col min="3" max="4" width="10.109375" style="92" bestFit="1" customWidth="1"/>
    <col min="5" max="5" width="9.109375" style="92" bestFit="1" customWidth="1"/>
    <col min="6" max="6" width="14" style="92" bestFit="1" customWidth="1"/>
    <col min="7" max="7" width="10.109375" style="92" bestFit="1" customWidth="1"/>
    <col min="8" max="8" width="9.109375" style="92" bestFit="1" customWidth="1"/>
    <col min="9" max="9" width="13" style="92" bestFit="1" customWidth="1"/>
    <col min="10" max="10" width="10.109375" style="92" bestFit="1" customWidth="1"/>
    <col min="11" max="11" width="6.88671875" style="92" customWidth="1"/>
    <col min="12" max="16384" width="6.88671875" style="92"/>
  </cols>
  <sheetData>
    <row r="1" spans="1:10" x14ac:dyDescent="0.3">
      <c r="A1" s="91" t="s">
        <v>329</v>
      </c>
      <c r="B1" s="91" t="s">
        <v>330</v>
      </c>
      <c r="C1" s="91" t="s">
        <v>331</v>
      </c>
      <c r="D1" s="91" t="s">
        <v>332</v>
      </c>
      <c r="E1" s="91" t="s">
        <v>333</v>
      </c>
      <c r="F1" s="92" t="s">
        <v>334</v>
      </c>
      <c r="G1" s="91" t="s">
        <v>332</v>
      </c>
      <c r="H1" s="91" t="s">
        <v>335</v>
      </c>
      <c r="I1" s="92" t="s">
        <v>336</v>
      </c>
      <c r="J1" s="91" t="s">
        <v>332</v>
      </c>
    </row>
    <row r="2" spans="1:10" x14ac:dyDescent="0.3">
      <c r="A2" s="91" t="s">
        <v>337</v>
      </c>
      <c r="B2" s="91" t="s">
        <v>338</v>
      </c>
      <c r="C2" s="91" t="s">
        <v>357</v>
      </c>
      <c r="D2" s="93">
        <v>15500</v>
      </c>
      <c r="E2" s="93">
        <v>0</v>
      </c>
      <c r="F2" s="93">
        <v>0</v>
      </c>
      <c r="G2" s="93">
        <v>15500</v>
      </c>
      <c r="H2" s="93">
        <v>0</v>
      </c>
      <c r="I2" s="93">
        <v>0</v>
      </c>
      <c r="J2" s="93">
        <v>15500</v>
      </c>
    </row>
    <row r="3" spans="1:10" x14ac:dyDescent="0.3">
      <c r="A3" s="91" t="s">
        <v>340</v>
      </c>
      <c r="B3" s="91" t="s">
        <v>341</v>
      </c>
      <c r="C3" s="91" t="s">
        <v>357</v>
      </c>
      <c r="D3" s="93">
        <v>0</v>
      </c>
      <c r="E3" s="93">
        <v>0</v>
      </c>
      <c r="F3" s="93">
        <v>0</v>
      </c>
      <c r="G3" s="93">
        <v>0</v>
      </c>
      <c r="H3" s="93">
        <v>7452</v>
      </c>
      <c r="I3" s="93">
        <v>0</v>
      </c>
      <c r="J3" s="93">
        <v>7452</v>
      </c>
    </row>
    <row r="4" spans="1:10" x14ac:dyDescent="0.3">
      <c r="A4" s="91" t="s">
        <v>342</v>
      </c>
      <c r="B4" s="91" t="s">
        <v>343</v>
      </c>
      <c r="C4" s="91" t="s">
        <v>357</v>
      </c>
      <c r="D4" s="93">
        <v>10944</v>
      </c>
      <c r="E4" s="93">
        <v>4968</v>
      </c>
      <c r="F4" s="93">
        <v>0</v>
      </c>
      <c r="G4" s="93">
        <v>5976</v>
      </c>
      <c r="H4" s="93">
        <v>16848</v>
      </c>
      <c r="I4" s="93">
        <v>0</v>
      </c>
      <c r="J4" s="93">
        <v>22824</v>
      </c>
    </row>
    <row r="5" spans="1:10" x14ac:dyDescent="0.3">
      <c r="A5" s="91" t="s">
        <v>344</v>
      </c>
      <c r="B5" s="91" t="s">
        <v>345</v>
      </c>
      <c r="C5" s="91" t="s">
        <v>357</v>
      </c>
      <c r="D5" s="93">
        <v>4440</v>
      </c>
      <c r="E5" s="93">
        <v>5232</v>
      </c>
      <c r="F5" s="93">
        <v>0</v>
      </c>
      <c r="G5" s="93">
        <v>-792</v>
      </c>
      <c r="H5" s="93">
        <v>50832</v>
      </c>
      <c r="I5" s="93">
        <v>0</v>
      </c>
      <c r="J5" s="93">
        <v>50040</v>
      </c>
    </row>
    <row r="6" spans="1:10" x14ac:dyDescent="0.3">
      <c r="A6" s="91" t="s">
        <v>346</v>
      </c>
      <c r="B6" s="91" t="s">
        <v>347</v>
      </c>
      <c r="C6" s="91" t="s">
        <v>357</v>
      </c>
      <c r="D6" s="93">
        <v>0</v>
      </c>
      <c r="E6" s="93">
        <v>0</v>
      </c>
      <c r="F6" s="93">
        <v>0</v>
      </c>
      <c r="G6" s="93">
        <v>0</v>
      </c>
      <c r="H6" s="93">
        <v>936</v>
      </c>
      <c r="I6" s="93">
        <v>0</v>
      </c>
      <c r="J6" s="93">
        <v>936</v>
      </c>
    </row>
    <row r="7" spans="1:10" x14ac:dyDescent="0.3">
      <c r="A7" s="91" t="s">
        <v>348</v>
      </c>
      <c r="B7" s="91" t="s">
        <v>349</v>
      </c>
      <c r="C7" s="91" t="s">
        <v>357</v>
      </c>
      <c r="D7" s="93">
        <v>96</v>
      </c>
      <c r="E7" s="93">
        <v>0</v>
      </c>
      <c r="F7" s="93">
        <v>0</v>
      </c>
      <c r="G7" s="93">
        <v>96</v>
      </c>
      <c r="H7" s="93">
        <v>1704</v>
      </c>
      <c r="I7" s="93">
        <v>0</v>
      </c>
      <c r="J7" s="93">
        <v>1800</v>
      </c>
    </row>
    <row r="8" spans="1:10" x14ac:dyDescent="0.3">
      <c r="A8" s="91" t="s">
        <v>350</v>
      </c>
      <c r="B8" s="91" t="s">
        <v>351</v>
      </c>
      <c r="C8" s="91" t="s">
        <v>357</v>
      </c>
      <c r="D8" s="93">
        <v>48</v>
      </c>
      <c r="E8" s="93">
        <v>0</v>
      </c>
      <c r="F8" s="93">
        <v>0</v>
      </c>
      <c r="G8" s="93">
        <v>48</v>
      </c>
      <c r="H8" s="93">
        <v>2232</v>
      </c>
      <c r="I8" s="93">
        <v>0</v>
      </c>
      <c r="J8" s="93">
        <v>2280</v>
      </c>
    </row>
    <row r="9" spans="1:10" x14ac:dyDescent="0.3">
      <c r="A9" s="91" t="s">
        <v>352</v>
      </c>
      <c r="B9" s="91" t="s">
        <v>353</v>
      </c>
      <c r="C9" s="91" t="s">
        <v>357</v>
      </c>
      <c r="D9" s="93">
        <v>9312</v>
      </c>
      <c r="E9" s="93">
        <v>11808</v>
      </c>
      <c r="F9" s="93">
        <v>0</v>
      </c>
      <c r="G9" s="93">
        <v>-2496</v>
      </c>
      <c r="H9" s="93">
        <v>34128</v>
      </c>
      <c r="I9" s="93">
        <v>0</v>
      </c>
      <c r="J9" s="93">
        <v>31632</v>
      </c>
    </row>
    <row r="10" spans="1:10" x14ac:dyDescent="0.3">
      <c r="A10" s="91" t="s">
        <v>354</v>
      </c>
      <c r="B10" s="91" t="s">
        <v>355</v>
      </c>
      <c r="C10" s="91" t="s">
        <v>357</v>
      </c>
      <c r="D10" s="93">
        <v>1032</v>
      </c>
      <c r="E10" s="93">
        <v>696</v>
      </c>
      <c r="F10" s="93">
        <v>0</v>
      </c>
      <c r="G10" s="93">
        <v>336</v>
      </c>
      <c r="H10" s="93">
        <v>0</v>
      </c>
      <c r="I10" s="93">
        <v>0</v>
      </c>
      <c r="J10" s="93">
        <v>336</v>
      </c>
    </row>
    <row r="11" spans="1:10" x14ac:dyDescent="0.3">
      <c r="A11" s="91" t="s">
        <v>11</v>
      </c>
      <c r="B11" s="91" t="s">
        <v>128</v>
      </c>
      <c r="C11" s="91" t="s">
        <v>357</v>
      </c>
      <c r="D11" s="93">
        <v>660</v>
      </c>
      <c r="E11" s="93">
        <v>48</v>
      </c>
      <c r="F11" s="93">
        <v>0</v>
      </c>
      <c r="G11" s="93">
        <v>612</v>
      </c>
      <c r="H11" s="93">
        <v>0</v>
      </c>
      <c r="I11" s="93">
        <v>0</v>
      </c>
      <c r="J11" s="93">
        <v>612</v>
      </c>
    </row>
    <row r="12" spans="1:10" x14ac:dyDescent="0.3">
      <c r="A12" s="91" t="s">
        <v>12</v>
      </c>
      <c r="B12" s="91" t="s">
        <v>129</v>
      </c>
      <c r="C12" s="91" t="s">
        <v>357</v>
      </c>
      <c r="D12" s="93">
        <v>4644</v>
      </c>
      <c r="E12" s="93">
        <v>24</v>
      </c>
      <c r="F12" s="93">
        <v>0</v>
      </c>
      <c r="G12" s="93">
        <v>4620</v>
      </c>
      <c r="H12" s="93">
        <v>0</v>
      </c>
      <c r="I12" s="93">
        <v>0</v>
      </c>
      <c r="J12" s="93">
        <v>4620</v>
      </c>
    </row>
    <row r="13" spans="1:10" x14ac:dyDescent="0.3">
      <c r="A13" s="91" t="s">
        <v>358</v>
      </c>
      <c r="B13" s="91" t="s">
        <v>359</v>
      </c>
      <c r="C13" s="91" t="s">
        <v>357</v>
      </c>
      <c r="D13" s="93">
        <v>972</v>
      </c>
      <c r="E13" s="93">
        <v>96</v>
      </c>
      <c r="F13" s="93">
        <v>0</v>
      </c>
      <c r="G13" s="93">
        <v>876</v>
      </c>
      <c r="H13" s="93">
        <v>0</v>
      </c>
      <c r="I13" s="93">
        <v>0</v>
      </c>
      <c r="J13" s="93">
        <v>876</v>
      </c>
    </row>
    <row r="14" spans="1:10" x14ac:dyDescent="0.3">
      <c r="A14" s="91" t="s">
        <v>360</v>
      </c>
      <c r="B14" s="91" t="s">
        <v>361</v>
      </c>
      <c r="C14" s="91" t="s">
        <v>357</v>
      </c>
      <c r="D14" s="93">
        <v>492</v>
      </c>
      <c r="E14" s="93">
        <v>48</v>
      </c>
      <c r="F14" s="93">
        <v>0</v>
      </c>
      <c r="G14" s="93">
        <v>444</v>
      </c>
      <c r="H14" s="93">
        <v>684</v>
      </c>
      <c r="I14" s="93">
        <v>0</v>
      </c>
      <c r="J14" s="93">
        <v>1128</v>
      </c>
    </row>
    <row r="15" spans="1:10" x14ac:dyDescent="0.3">
      <c r="A15" s="91" t="s">
        <v>362</v>
      </c>
      <c r="B15" s="91" t="s">
        <v>363</v>
      </c>
      <c r="C15" s="91" t="s">
        <v>357</v>
      </c>
      <c r="D15" s="93">
        <v>1212</v>
      </c>
      <c r="E15" s="93">
        <v>36</v>
      </c>
      <c r="F15" s="93">
        <v>0</v>
      </c>
      <c r="G15" s="93">
        <v>1176</v>
      </c>
      <c r="H15" s="93">
        <v>324</v>
      </c>
      <c r="I15" s="93">
        <v>0</v>
      </c>
      <c r="J15" s="93">
        <v>1500</v>
      </c>
    </row>
    <row r="16" spans="1:10" x14ac:dyDescent="0.3">
      <c r="A16" s="91" t="s">
        <v>364</v>
      </c>
      <c r="B16" s="91" t="s">
        <v>365</v>
      </c>
      <c r="C16" s="91" t="s">
        <v>357</v>
      </c>
      <c r="D16" s="93">
        <v>2340</v>
      </c>
      <c r="E16" s="93">
        <v>72</v>
      </c>
      <c r="F16" s="93">
        <v>0</v>
      </c>
      <c r="G16" s="93">
        <v>2268</v>
      </c>
      <c r="H16" s="93">
        <v>0</v>
      </c>
      <c r="I16" s="93">
        <v>0</v>
      </c>
      <c r="J16" s="93">
        <v>2268</v>
      </c>
    </row>
    <row r="17" spans="1:10" x14ac:dyDescent="0.3">
      <c r="A17" s="91" t="s">
        <v>366</v>
      </c>
      <c r="B17" s="91" t="s">
        <v>367</v>
      </c>
      <c r="C17" s="91" t="s">
        <v>357</v>
      </c>
      <c r="D17" s="93">
        <v>1500</v>
      </c>
      <c r="E17" s="93">
        <v>0</v>
      </c>
      <c r="F17" s="93">
        <v>0</v>
      </c>
      <c r="G17" s="93">
        <v>1500</v>
      </c>
      <c r="H17" s="93">
        <v>0</v>
      </c>
      <c r="I17" s="93">
        <v>0</v>
      </c>
      <c r="J17" s="93">
        <v>1500</v>
      </c>
    </row>
    <row r="18" spans="1:10" x14ac:dyDescent="0.3">
      <c r="A18" s="91" t="s">
        <v>368</v>
      </c>
      <c r="B18" s="91" t="s">
        <v>369</v>
      </c>
      <c r="C18" s="91" t="s">
        <v>357</v>
      </c>
      <c r="D18" s="93">
        <v>108</v>
      </c>
      <c r="E18" s="93">
        <v>0</v>
      </c>
      <c r="F18" s="93">
        <v>0</v>
      </c>
      <c r="G18" s="93">
        <v>108</v>
      </c>
      <c r="H18" s="93">
        <v>0</v>
      </c>
      <c r="I18" s="93">
        <v>0</v>
      </c>
      <c r="J18" s="93">
        <v>108</v>
      </c>
    </row>
    <row r="19" spans="1:10" x14ac:dyDescent="0.3">
      <c r="A19" s="91" t="s">
        <v>370</v>
      </c>
      <c r="B19" s="91" t="s">
        <v>371</v>
      </c>
      <c r="C19" s="91" t="s">
        <v>357</v>
      </c>
      <c r="D19" s="93">
        <v>276</v>
      </c>
      <c r="E19" s="93">
        <v>0</v>
      </c>
      <c r="F19" s="93">
        <v>0</v>
      </c>
      <c r="G19" s="93">
        <v>276</v>
      </c>
      <c r="H19" s="93">
        <v>0</v>
      </c>
      <c r="I19" s="93">
        <v>0</v>
      </c>
      <c r="J19" s="93">
        <v>276</v>
      </c>
    </row>
    <row r="20" spans="1:10" x14ac:dyDescent="0.3">
      <c r="A20" s="91" t="s">
        <v>13</v>
      </c>
      <c r="B20" s="91" t="s">
        <v>130</v>
      </c>
      <c r="C20" s="91" t="s">
        <v>357</v>
      </c>
      <c r="D20" s="93">
        <v>5340</v>
      </c>
      <c r="E20" s="93">
        <v>0</v>
      </c>
      <c r="F20" s="93">
        <v>0</v>
      </c>
      <c r="G20" s="93">
        <v>5340</v>
      </c>
      <c r="H20" s="93">
        <v>0</v>
      </c>
      <c r="I20" s="93">
        <v>0</v>
      </c>
      <c r="J20" s="93">
        <v>5340</v>
      </c>
    </row>
    <row r="21" spans="1:10" x14ac:dyDescent="0.3">
      <c r="A21" s="91" t="s">
        <v>372</v>
      </c>
      <c r="B21" s="91" t="s">
        <v>373</v>
      </c>
      <c r="C21" s="91" t="s">
        <v>357</v>
      </c>
      <c r="D21" s="93">
        <v>3288</v>
      </c>
      <c r="E21" s="93">
        <v>0</v>
      </c>
      <c r="F21" s="93">
        <v>0</v>
      </c>
      <c r="G21" s="93">
        <v>3288</v>
      </c>
      <c r="H21" s="93">
        <v>0</v>
      </c>
      <c r="I21" s="93">
        <v>0</v>
      </c>
      <c r="J21" s="93">
        <v>3288</v>
      </c>
    </row>
    <row r="22" spans="1:10" x14ac:dyDescent="0.3">
      <c r="A22" s="91" t="s">
        <v>374</v>
      </c>
      <c r="B22" s="91" t="s">
        <v>375</v>
      </c>
      <c r="C22" s="91" t="s">
        <v>357</v>
      </c>
      <c r="D22" s="93">
        <v>1308</v>
      </c>
      <c r="E22" s="93">
        <v>0</v>
      </c>
      <c r="F22" s="93">
        <v>0</v>
      </c>
      <c r="G22" s="93">
        <v>1308</v>
      </c>
      <c r="H22" s="93">
        <v>0</v>
      </c>
      <c r="I22" s="93">
        <v>0</v>
      </c>
      <c r="J22" s="93">
        <v>1308</v>
      </c>
    </row>
    <row r="23" spans="1:10" x14ac:dyDescent="0.3">
      <c r="A23" s="91" t="s">
        <v>14</v>
      </c>
      <c r="B23" s="91" t="s">
        <v>131</v>
      </c>
      <c r="C23" s="91" t="s">
        <v>357</v>
      </c>
      <c r="D23" s="93">
        <v>19548</v>
      </c>
      <c r="E23" s="93">
        <v>0</v>
      </c>
      <c r="F23" s="93">
        <v>0</v>
      </c>
      <c r="G23" s="93">
        <v>19548</v>
      </c>
      <c r="H23" s="93">
        <v>0</v>
      </c>
      <c r="I23" s="93">
        <v>0</v>
      </c>
      <c r="J23" s="93">
        <v>19548</v>
      </c>
    </row>
    <row r="24" spans="1:10" x14ac:dyDescent="0.3">
      <c r="A24" s="91" t="s">
        <v>376</v>
      </c>
      <c r="B24" s="91" t="s">
        <v>377</v>
      </c>
      <c r="C24" s="91" t="s">
        <v>357</v>
      </c>
      <c r="D24" s="93">
        <v>2616</v>
      </c>
      <c r="E24" s="93">
        <v>0</v>
      </c>
      <c r="F24" s="93">
        <v>0</v>
      </c>
      <c r="G24" s="93">
        <v>2616</v>
      </c>
      <c r="H24" s="93">
        <v>0</v>
      </c>
      <c r="I24" s="93">
        <v>0</v>
      </c>
      <c r="J24" s="93">
        <v>2616</v>
      </c>
    </row>
    <row r="25" spans="1:10" x14ac:dyDescent="0.3">
      <c r="A25" s="91" t="s">
        <v>378</v>
      </c>
      <c r="B25" s="91" t="s">
        <v>379</v>
      </c>
      <c r="C25" s="91" t="s">
        <v>357</v>
      </c>
      <c r="D25" s="93">
        <v>648</v>
      </c>
      <c r="E25" s="93">
        <v>0</v>
      </c>
      <c r="F25" s="93">
        <v>0</v>
      </c>
      <c r="G25" s="93">
        <v>648</v>
      </c>
      <c r="H25" s="93">
        <v>0</v>
      </c>
      <c r="I25" s="93">
        <v>0</v>
      </c>
      <c r="J25" s="93">
        <v>648</v>
      </c>
    </row>
    <row r="26" spans="1:10" x14ac:dyDescent="0.3">
      <c r="A26" s="91" t="s">
        <v>380</v>
      </c>
      <c r="B26" s="91" t="s">
        <v>381</v>
      </c>
      <c r="C26" s="91" t="s">
        <v>357</v>
      </c>
      <c r="D26" s="93">
        <v>1620</v>
      </c>
      <c r="E26" s="93">
        <v>0</v>
      </c>
      <c r="F26" s="93">
        <v>0</v>
      </c>
      <c r="G26" s="93">
        <v>1620</v>
      </c>
      <c r="H26" s="93">
        <v>0</v>
      </c>
      <c r="I26" s="93">
        <v>0</v>
      </c>
      <c r="J26" s="93">
        <v>1620</v>
      </c>
    </row>
    <row r="27" spans="1:10" x14ac:dyDescent="0.3">
      <c r="A27" s="91" t="s">
        <v>382</v>
      </c>
      <c r="B27" s="91" t="s">
        <v>383</v>
      </c>
      <c r="C27" s="91" t="s">
        <v>357</v>
      </c>
      <c r="D27" s="93">
        <v>552</v>
      </c>
      <c r="E27" s="93">
        <v>0</v>
      </c>
      <c r="F27" s="93">
        <v>0</v>
      </c>
      <c r="G27" s="93">
        <v>552</v>
      </c>
      <c r="H27" s="93">
        <v>0</v>
      </c>
      <c r="I27" s="93">
        <v>0</v>
      </c>
      <c r="J27" s="93">
        <v>552</v>
      </c>
    </row>
    <row r="28" spans="1:10" x14ac:dyDescent="0.3">
      <c r="A28" s="91" t="s">
        <v>384</v>
      </c>
      <c r="B28" s="91" t="s">
        <v>385</v>
      </c>
      <c r="C28" s="91" t="s">
        <v>357</v>
      </c>
      <c r="D28" s="93">
        <v>360</v>
      </c>
      <c r="E28" s="93">
        <v>0</v>
      </c>
      <c r="F28" s="93">
        <v>0</v>
      </c>
      <c r="G28" s="93">
        <v>360</v>
      </c>
      <c r="H28" s="93">
        <v>0</v>
      </c>
      <c r="I28" s="93">
        <v>0</v>
      </c>
      <c r="J28" s="93">
        <v>360</v>
      </c>
    </row>
    <row r="29" spans="1:10" x14ac:dyDescent="0.3">
      <c r="A29" s="91" t="s">
        <v>386</v>
      </c>
      <c r="B29" s="91" t="s">
        <v>387</v>
      </c>
      <c r="C29" s="91" t="s">
        <v>357</v>
      </c>
      <c r="D29" s="93">
        <v>384</v>
      </c>
      <c r="E29" s="93">
        <v>0</v>
      </c>
      <c r="F29" s="93">
        <v>0</v>
      </c>
      <c r="G29" s="93">
        <v>384</v>
      </c>
      <c r="H29" s="93">
        <v>0</v>
      </c>
      <c r="I29" s="93">
        <v>0</v>
      </c>
      <c r="J29" s="93">
        <v>384</v>
      </c>
    </row>
    <row r="30" spans="1:10" x14ac:dyDescent="0.3">
      <c r="A30" s="91" t="s">
        <v>388</v>
      </c>
      <c r="B30" s="91" t="s">
        <v>389</v>
      </c>
      <c r="C30" s="91" t="s">
        <v>357</v>
      </c>
      <c r="D30" s="93">
        <v>804</v>
      </c>
      <c r="E30" s="93">
        <v>0</v>
      </c>
      <c r="F30" s="93">
        <v>0</v>
      </c>
      <c r="G30" s="93">
        <v>804</v>
      </c>
      <c r="H30" s="93">
        <v>0</v>
      </c>
      <c r="I30" s="93">
        <v>0</v>
      </c>
      <c r="J30" s="93">
        <v>804</v>
      </c>
    </row>
    <row r="31" spans="1:10" x14ac:dyDescent="0.3">
      <c r="A31" s="91" t="s">
        <v>390</v>
      </c>
      <c r="B31" s="91" t="s">
        <v>391</v>
      </c>
      <c r="C31" s="91" t="s">
        <v>357</v>
      </c>
      <c r="D31" s="93">
        <v>876</v>
      </c>
      <c r="E31" s="93">
        <v>0</v>
      </c>
      <c r="F31" s="93">
        <v>0</v>
      </c>
      <c r="G31" s="93">
        <v>876</v>
      </c>
      <c r="H31" s="93">
        <v>0</v>
      </c>
      <c r="I31" s="93">
        <v>0</v>
      </c>
      <c r="J31" s="93">
        <v>876</v>
      </c>
    </row>
    <row r="32" spans="1:10" x14ac:dyDescent="0.3">
      <c r="A32" s="91" t="s">
        <v>392</v>
      </c>
      <c r="B32" s="91" t="s">
        <v>393</v>
      </c>
      <c r="C32" s="91" t="s">
        <v>357</v>
      </c>
      <c r="D32" s="93">
        <v>588</v>
      </c>
      <c r="E32" s="93">
        <v>0</v>
      </c>
      <c r="F32" s="93">
        <v>0</v>
      </c>
      <c r="G32" s="93">
        <v>588</v>
      </c>
      <c r="H32" s="93">
        <v>0</v>
      </c>
      <c r="I32" s="93">
        <v>0</v>
      </c>
      <c r="J32" s="93">
        <v>588</v>
      </c>
    </row>
    <row r="33" spans="1:10" x14ac:dyDescent="0.3">
      <c r="A33" s="91" t="s">
        <v>394</v>
      </c>
      <c r="B33" s="91" t="s">
        <v>395</v>
      </c>
      <c r="C33" s="91" t="s">
        <v>357</v>
      </c>
      <c r="D33" s="93">
        <v>168</v>
      </c>
      <c r="E33" s="93">
        <v>0</v>
      </c>
      <c r="F33" s="93">
        <v>0</v>
      </c>
      <c r="G33" s="93">
        <v>168</v>
      </c>
      <c r="H33" s="93">
        <v>0</v>
      </c>
      <c r="I33" s="93">
        <v>0</v>
      </c>
      <c r="J33" s="93">
        <v>168</v>
      </c>
    </row>
    <row r="34" spans="1:10" x14ac:dyDescent="0.3">
      <c r="A34" s="91" t="s">
        <v>396</v>
      </c>
      <c r="B34" s="91" t="s">
        <v>397</v>
      </c>
      <c r="C34" s="91" t="s">
        <v>357</v>
      </c>
      <c r="D34" s="93">
        <v>216</v>
      </c>
      <c r="E34" s="93">
        <v>0</v>
      </c>
      <c r="F34" s="93">
        <v>0</v>
      </c>
      <c r="G34" s="93">
        <v>216</v>
      </c>
      <c r="H34" s="93">
        <v>0</v>
      </c>
      <c r="I34" s="93">
        <v>0</v>
      </c>
      <c r="J34" s="93">
        <v>216</v>
      </c>
    </row>
    <row r="35" spans="1:10" x14ac:dyDescent="0.3">
      <c r="A35" s="91" t="s">
        <v>398</v>
      </c>
      <c r="B35" s="91" t="s">
        <v>399</v>
      </c>
      <c r="C35" s="91" t="s">
        <v>357</v>
      </c>
      <c r="D35" s="93">
        <v>1620</v>
      </c>
      <c r="E35" s="93">
        <v>0</v>
      </c>
      <c r="F35" s="93">
        <v>0</v>
      </c>
      <c r="G35" s="93">
        <v>1620</v>
      </c>
      <c r="H35" s="93">
        <v>0</v>
      </c>
      <c r="I35" s="93">
        <v>0</v>
      </c>
      <c r="J35" s="93">
        <v>1620</v>
      </c>
    </row>
    <row r="36" spans="1:10" x14ac:dyDescent="0.3">
      <c r="A36" s="91" t="s">
        <v>400</v>
      </c>
      <c r="B36" s="91" t="s">
        <v>401</v>
      </c>
      <c r="C36" s="91" t="s">
        <v>357</v>
      </c>
      <c r="D36" s="93">
        <v>3000</v>
      </c>
      <c r="E36" s="93">
        <v>0</v>
      </c>
      <c r="F36" s="93">
        <v>0</v>
      </c>
      <c r="G36" s="93">
        <v>3000</v>
      </c>
      <c r="H36" s="93">
        <v>0</v>
      </c>
      <c r="I36" s="93">
        <v>0</v>
      </c>
      <c r="J36" s="93">
        <v>3000</v>
      </c>
    </row>
    <row r="37" spans="1:10" x14ac:dyDescent="0.3">
      <c r="A37" s="91" t="s">
        <v>16</v>
      </c>
      <c r="B37" s="91" t="s">
        <v>133</v>
      </c>
      <c r="C37" s="91" t="s">
        <v>357</v>
      </c>
      <c r="D37" s="93">
        <v>2880</v>
      </c>
      <c r="E37" s="93">
        <v>0</v>
      </c>
      <c r="F37" s="93">
        <v>0</v>
      </c>
      <c r="G37" s="93">
        <v>2880</v>
      </c>
      <c r="H37" s="93">
        <v>0</v>
      </c>
      <c r="I37" s="93">
        <v>0</v>
      </c>
      <c r="J37" s="93">
        <v>2880</v>
      </c>
    </row>
    <row r="38" spans="1:10" x14ac:dyDescent="0.3">
      <c r="A38" s="91" t="s">
        <v>402</v>
      </c>
      <c r="B38" s="91" t="s">
        <v>403</v>
      </c>
      <c r="C38" s="91" t="s">
        <v>357</v>
      </c>
      <c r="D38" s="93">
        <v>3816</v>
      </c>
      <c r="E38" s="93">
        <v>0</v>
      </c>
      <c r="F38" s="93">
        <v>0</v>
      </c>
      <c r="G38" s="93">
        <v>3816</v>
      </c>
      <c r="H38" s="93">
        <v>0</v>
      </c>
      <c r="I38" s="93">
        <v>0</v>
      </c>
      <c r="J38" s="93">
        <v>3816</v>
      </c>
    </row>
    <row r="39" spans="1:10" x14ac:dyDescent="0.3">
      <c r="A39" s="91" t="s">
        <v>404</v>
      </c>
      <c r="B39" s="91" t="s">
        <v>405</v>
      </c>
      <c r="C39" s="91" t="s">
        <v>339</v>
      </c>
      <c r="D39" s="93">
        <v>42072</v>
      </c>
      <c r="E39" s="93">
        <v>0</v>
      </c>
      <c r="F39" s="93">
        <v>0</v>
      </c>
      <c r="G39" s="93">
        <v>42072</v>
      </c>
      <c r="H39" s="93">
        <v>0</v>
      </c>
      <c r="I39" s="93">
        <v>0</v>
      </c>
      <c r="J39" s="93">
        <v>42072</v>
      </c>
    </row>
    <row r="40" spans="1:10" x14ac:dyDescent="0.3">
      <c r="A40" s="91" t="s">
        <v>406</v>
      </c>
      <c r="B40" s="91" t="s">
        <v>407</v>
      </c>
      <c r="C40" s="91" t="s">
        <v>357</v>
      </c>
      <c r="D40" s="93">
        <v>1344</v>
      </c>
      <c r="E40" s="93">
        <v>0</v>
      </c>
      <c r="F40" s="93">
        <v>0</v>
      </c>
      <c r="G40" s="93">
        <v>1344</v>
      </c>
      <c r="H40" s="93">
        <v>0</v>
      </c>
      <c r="I40" s="93">
        <v>0</v>
      </c>
      <c r="J40" s="93">
        <v>1344</v>
      </c>
    </row>
    <row r="41" spans="1:10" x14ac:dyDescent="0.3">
      <c r="A41" s="91" t="s">
        <v>17</v>
      </c>
      <c r="B41" s="91" t="s">
        <v>134</v>
      </c>
      <c r="C41" s="91" t="s">
        <v>357</v>
      </c>
      <c r="D41" s="93">
        <v>3348</v>
      </c>
      <c r="E41" s="93">
        <v>0</v>
      </c>
      <c r="F41" s="93">
        <v>0</v>
      </c>
      <c r="G41" s="93">
        <v>3348</v>
      </c>
      <c r="H41" s="93">
        <v>0</v>
      </c>
      <c r="I41" s="93">
        <v>0</v>
      </c>
      <c r="J41" s="93">
        <v>3348</v>
      </c>
    </row>
    <row r="42" spans="1:10" x14ac:dyDescent="0.3">
      <c r="A42" s="91" t="s">
        <v>408</v>
      </c>
      <c r="B42" s="91" t="s">
        <v>409</v>
      </c>
      <c r="C42" s="91" t="s">
        <v>357</v>
      </c>
      <c r="D42" s="93">
        <v>400</v>
      </c>
      <c r="E42" s="93">
        <v>24</v>
      </c>
      <c r="F42" s="93">
        <v>0</v>
      </c>
      <c r="G42" s="93">
        <v>376</v>
      </c>
      <c r="H42" s="93">
        <v>36</v>
      </c>
      <c r="I42" s="93">
        <v>0</v>
      </c>
      <c r="J42" s="93">
        <v>412</v>
      </c>
    </row>
    <row r="43" spans="1:10" x14ac:dyDescent="0.3">
      <c r="A43" s="91" t="s">
        <v>410</v>
      </c>
      <c r="B43" s="91" t="s">
        <v>411</v>
      </c>
      <c r="C43" s="91" t="s">
        <v>357</v>
      </c>
      <c r="D43" s="93">
        <v>192</v>
      </c>
      <c r="E43" s="93">
        <v>72</v>
      </c>
      <c r="F43" s="93">
        <v>0</v>
      </c>
      <c r="G43" s="93">
        <v>120</v>
      </c>
      <c r="H43" s="93">
        <v>0</v>
      </c>
      <c r="I43" s="93">
        <v>0</v>
      </c>
      <c r="J43" s="93">
        <v>120</v>
      </c>
    </row>
    <row r="44" spans="1:10" x14ac:dyDescent="0.3">
      <c r="A44" s="91" t="s">
        <v>412</v>
      </c>
      <c r="B44" s="91" t="s">
        <v>413</v>
      </c>
      <c r="C44" s="91" t="s">
        <v>357</v>
      </c>
      <c r="D44" s="93">
        <v>288</v>
      </c>
      <c r="E44" s="93">
        <v>144</v>
      </c>
      <c r="F44" s="93">
        <v>0</v>
      </c>
      <c r="G44" s="93">
        <v>144</v>
      </c>
      <c r="H44" s="93">
        <v>480</v>
      </c>
      <c r="I44" s="93">
        <v>0</v>
      </c>
      <c r="J44" s="93">
        <v>624</v>
      </c>
    </row>
    <row r="45" spans="1:10" x14ac:dyDescent="0.3">
      <c r="A45" s="91" t="s">
        <v>414</v>
      </c>
      <c r="B45" s="91" t="s">
        <v>415</v>
      </c>
      <c r="C45" s="91" t="s">
        <v>357</v>
      </c>
      <c r="D45" s="93">
        <v>72</v>
      </c>
      <c r="E45" s="93">
        <v>204</v>
      </c>
      <c r="F45" s="93">
        <v>0</v>
      </c>
      <c r="G45" s="93">
        <v>-132</v>
      </c>
      <c r="H45" s="93">
        <v>348</v>
      </c>
      <c r="I45" s="93">
        <v>0</v>
      </c>
      <c r="J45" s="93">
        <v>216</v>
      </c>
    </row>
    <row r="46" spans="1:10" x14ac:dyDescent="0.3">
      <c r="A46" s="91" t="s">
        <v>416</v>
      </c>
      <c r="B46" s="91" t="s">
        <v>417</v>
      </c>
      <c r="C46" s="91" t="s">
        <v>357</v>
      </c>
      <c r="D46" s="93">
        <v>768</v>
      </c>
      <c r="E46" s="93">
        <v>84</v>
      </c>
      <c r="F46" s="93">
        <v>0</v>
      </c>
      <c r="G46" s="93">
        <v>684</v>
      </c>
      <c r="H46" s="93">
        <v>1356</v>
      </c>
      <c r="I46" s="93">
        <v>0</v>
      </c>
      <c r="J46" s="93">
        <v>2040</v>
      </c>
    </row>
    <row r="47" spans="1:10" x14ac:dyDescent="0.3">
      <c r="A47" s="91" t="s">
        <v>418</v>
      </c>
      <c r="B47" s="91" t="s">
        <v>419</v>
      </c>
      <c r="C47" s="91" t="s">
        <v>357</v>
      </c>
      <c r="D47" s="93">
        <v>96</v>
      </c>
      <c r="E47" s="93">
        <v>84</v>
      </c>
      <c r="F47" s="93">
        <v>0</v>
      </c>
      <c r="G47" s="93">
        <v>12</v>
      </c>
      <c r="H47" s="93">
        <v>216</v>
      </c>
      <c r="I47" s="93">
        <v>0</v>
      </c>
      <c r="J47" s="93">
        <v>228</v>
      </c>
    </row>
    <row r="48" spans="1:10" x14ac:dyDescent="0.3">
      <c r="A48" s="91" t="s">
        <v>420</v>
      </c>
      <c r="B48" s="91" t="s">
        <v>421</v>
      </c>
      <c r="C48" s="91" t="s">
        <v>357</v>
      </c>
      <c r="D48" s="93">
        <v>252</v>
      </c>
      <c r="E48" s="93">
        <v>336</v>
      </c>
      <c r="F48" s="93">
        <v>0</v>
      </c>
      <c r="G48" s="93">
        <v>-84</v>
      </c>
      <c r="H48" s="93">
        <v>876</v>
      </c>
      <c r="I48" s="93">
        <v>0</v>
      </c>
      <c r="J48" s="93">
        <v>792</v>
      </c>
    </row>
    <row r="49" spans="1:10" x14ac:dyDescent="0.3">
      <c r="A49" s="91" t="s">
        <v>422</v>
      </c>
      <c r="B49" s="91" t="s">
        <v>423</v>
      </c>
      <c r="C49" s="91" t="s">
        <v>357</v>
      </c>
      <c r="D49" s="93">
        <v>60</v>
      </c>
      <c r="E49" s="93">
        <v>132</v>
      </c>
      <c r="F49" s="93">
        <v>0</v>
      </c>
      <c r="G49" s="93">
        <v>-72</v>
      </c>
      <c r="H49" s="93">
        <v>1344</v>
      </c>
      <c r="I49" s="93">
        <v>0</v>
      </c>
      <c r="J49" s="93">
        <v>1272</v>
      </c>
    </row>
    <row r="50" spans="1:10" x14ac:dyDescent="0.3">
      <c r="A50" s="91" t="s">
        <v>424</v>
      </c>
      <c r="B50" s="91" t="s">
        <v>425</v>
      </c>
      <c r="C50" s="91" t="s">
        <v>357</v>
      </c>
      <c r="D50" s="93">
        <v>6035</v>
      </c>
      <c r="E50" s="93">
        <v>396</v>
      </c>
      <c r="F50" s="93">
        <v>0</v>
      </c>
      <c r="G50" s="93">
        <v>5639</v>
      </c>
      <c r="H50" s="93">
        <v>0</v>
      </c>
      <c r="I50" s="93">
        <v>0</v>
      </c>
      <c r="J50" s="93">
        <v>5639</v>
      </c>
    </row>
    <row r="51" spans="1:10" x14ac:dyDescent="0.3">
      <c r="A51" s="91" t="s">
        <v>426</v>
      </c>
      <c r="B51" s="91" t="s">
        <v>427</v>
      </c>
      <c r="C51" s="91" t="s">
        <v>357</v>
      </c>
      <c r="D51" s="93">
        <v>0</v>
      </c>
      <c r="E51" s="93">
        <v>0</v>
      </c>
      <c r="F51" s="93">
        <v>0</v>
      </c>
      <c r="G51" s="93">
        <v>0</v>
      </c>
      <c r="H51" s="93">
        <v>1536</v>
      </c>
      <c r="I51" s="93">
        <v>0</v>
      </c>
      <c r="J51" s="93">
        <v>1536</v>
      </c>
    </row>
    <row r="52" spans="1:10" x14ac:dyDescent="0.3">
      <c r="A52" s="91" t="s">
        <v>428</v>
      </c>
      <c r="B52" s="91" t="s">
        <v>429</v>
      </c>
      <c r="C52" s="91" t="s">
        <v>357</v>
      </c>
      <c r="D52" s="93">
        <v>0</v>
      </c>
      <c r="E52" s="93">
        <v>0</v>
      </c>
      <c r="F52" s="93">
        <v>0</v>
      </c>
      <c r="G52" s="93">
        <v>0</v>
      </c>
      <c r="H52" s="93">
        <v>1560</v>
      </c>
      <c r="I52" s="93">
        <v>0</v>
      </c>
      <c r="J52" s="93">
        <v>1560</v>
      </c>
    </row>
    <row r="53" spans="1:10" x14ac:dyDescent="0.3">
      <c r="A53" s="91" t="s">
        <v>430</v>
      </c>
      <c r="B53" s="91" t="s">
        <v>431</v>
      </c>
      <c r="C53" s="91" t="s">
        <v>357</v>
      </c>
      <c r="D53" s="93">
        <v>0</v>
      </c>
      <c r="E53" s="93">
        <v>0</v>
      </c>
      <c r="F53" s="93">
        <v>0</v>
      </c>
      <c r="G53" s="93">
        <v>0</v>
      </c>
      <c r="H53" s="93">
        <v>2000</v>
      </c>
      <c r="I53" s="93">
        <v>0</v>
      </c>
      <c r="J53" s="93">
        <v>2000</v>
      </c>
    </row>
    <row r="54" spans="1:10" x14ac:dyDescent="0.3">
      <c r="A54" s="91" t="s">
        <v>432</v>
      </c>
      <c r="B54" s="91" t="s">
        <v>433</v>
      </c>
      <c r="C54" s="91" t="s">
        <v>357</v>
      </c>
      <c r="D54" s="93">
        <v>300</v>
      </c>
      <c r="E54" s="93">
        <v>12</v>
      </c>
      <c r="F54" s="93">
        <v>0</v>
      </c>
      <c r="G54" s="93">
        <v>288</v>
      </c>
      <c r="H54" s="93">
        <v>0</v>
      </c>
      <c r="I54" s="93">
        <v>0</v>
      </c>
      <c r="J54" s="93">
        <v>288</v>
      </c>
    </row>
    <row r="55" spans="1:10" x14ac:dyDescent="0.3">
      <c r="A55" s="91" t="s">
        <v>1139</v>
      </c>
      <c r="B55" s="91" t="s">
        <v>1140</v>
      </c>
      <c r="C55" s="91" t="s">
        <v>357</v>
      </c>
      <c r="D55" s="93">
        <v>2</v>
      </c>
      <c r="E55" s="93">
        <v>0</v>
      </c>
      <c r="F55" s="93">
        <v>0</v>
      </c>
      <c r="G55" s="93">
        <v>2</v>
      </c>
      <c r="H55" s="93">
        <v>0</v>
      </c>
      <c r="I55" s="93">
        <v>0</v>
      </c>
      <c r="J55" s="93">
        <v>2</v>
      </c>
    </row>
    <row r="56" spans="1:10" x14ac:dyDescent="0.3">
      <c r="A56" s="91" t="s">
        <v>434</v>
      </c>
      <c r="B56" s="91" t="s">
        <v>435</v>
      </c>
      <c r="C56" s="91" t="s">
        <v>356</v>
      </c>
      <c r="D56" s="93">
        <v>3125</v>
      </c>
      <c r="E56" s="93">
        <v>0</v>
      </c>
      <c r="F56" s="93">
        <v>0</v>
      </c>
      <c r="G56" s="93">
        <v>3125</v>
      </c>
      <c r="H56" s="93">
        <v>0</v>
      </c>
      <c r="I56" s="93">
        <v>0</v>
      </c>
      <c r="J56" s="93">
        <v>3125</v>
      </c>
    </row>
    <row r="57" spans="1:10" x14ac:dyDescent="0.3">
      <c r="A57" s="91" t="s">
        <v>436</v>
      </c>
      <c r="B57" s="91" t="s">
        <v>437</v>
      </c>
      <c r="C57" s="91" t="s">
        <v>356</v>
      </c>
      <c r="D57" s="93">
        <v>225</v>
      </c>
      <c r="E57" s="93">
        <v>0</v>
      </c>
      <c r="F57" s="93">
        <v>0</v>
      </c>
      <c r="G57" s="93">
        <v>225</v>
      </c>
      <c r="H57" s="93">
        <v>0</v>
      </c>
      <c r="I57" s="93">
        <v>0</v>
      </c>
      <c r="J57" s="93">
        <v>225</v>
      </c>
    </row>
    <row r="58" spans="1:10" x14ac:dyDescent="0.3">
      <c r="A58" s="91" t="s">
        <v>1141</v>
      </c>
      <c r="B58" s="91" t="s">
        <v>1142</v>
      </c>
      <c r="C58" s="91" t="s">
        <v>356</v>
      </c>
      <c r="D58" s="93">
        <v>175</v>
      </c>
      <c r="E58" s="93">
        <v>0</v>
      </c>
      <c r="F58" s="93">
        <v>0</v>
      </c>
      <c r="G58" s="93">
        <v>175</v>
      </c>
      <c r="H58" s="93">
        <v>0</v>
      </c>
      <c r="I58" s="93">
        <v>0</v>
      </c>
      <c r="J58" s="93">
        <v>175</v>
      </c>
    </row>
    <row r="59" spans="1:10" x14ac:dyDescent="0.3">
      <c r="A59" s="91" t="s">
        <v>1143</v>
      </c>
      <c r="B59" s="91" t="s">
        <v>1144</v>
      </c>
      <c r="C59" s="91" t="s">
        <v>356</v>
      </c>
      <c r="D59" s="93">
        <v>125</v>
      </c>
      <c r="E59" s="93">
        <v>0</v>
      </c>
      <c r="F59" s="93">
        <v>0</v>
      </c>
      <c r="G59" s="93">
        <v>125</v>
      </c>
      <c r="H59" s="93">
        <v>0</v>
      </c>
      <c r="I59" s="93">
        <v>0</v>
      </c>
      <c r="J59" s="93">
        <v>125</v>
      </c>
    </row>
    <row r="60" spans="1:10" x14ac:dyDescent="0.3">
      <c r="A60" s="91" t="s">
        <v>438</v>
      </c>
      <c r="B60" s="91" t="s">
        <v>439</v>
      </c>
      <c r="C60" s="91" t="s">
        <v>356</v>
      </c>
      <c r="D60" s="93">
        <v>300</v>
      </c>
      <c r="E60" s="93">
        <v>0</v>
      </c>
      <c r="F60" s="93">
        <v>0</v>
      </c>
      <c r="G60" s="93">
        <v>300</v>
      </c>
      <c r="H60" s="93">
        <v>0</v>
      </c>
      <c r="I60" s="93">
        <v>0</v>
      </c>
      <c r="J60" s="93">
        <v>300</v>
      </c>
    </row>
    <row r="61" spans="1:10" x14ac:dyDescent="0.3">
      <c r="A61" s="91" t="s">
        <v>440</v>
      </c>
      <c r="B61" s="91" t="s">
        <v>441</v>
      </c>
      <c r="C61" s="91" t="s">
        <v>357</v>
      </c>
      <c r="D61" s="93">
        <v>222</v>
      </c>
      <c r="E61" s="93">
        <v>54</v>
      </c>
      <c r="F61" s="93">
        <v>0</v>
      </c>
      <c r="G61" s="93">
        <v>168</v>
      </c>
      <c r="H61" s="93">
        <v>0</v>
      </c>
      <c r="I61" s="93">
        <v>0</v>
      </c>
      <c r="J61" s="93">
        <v>168</v>
      </c>
    </row>
    <row r="62" spans="1:10" x14ac:dyDescent="0.3">
      <c r="A62" s="91" t="s">
        <v>1145</v>
      </c>
      <c r="B62" s="91" t="s">
        <v>1146</v>
      </c>
      <c r="C62" s="91" t="s">
        <v>356</v>
      </c>
      <c r="D62" s="93">
        <v>100</v>
      </c>
      <c r="E62" s="93">
        <v>0</v>
      </c>
      <c r="F62" s="93">
        <v>0</v>
      </c>
      <c r="G62" s="93">
        <v>100</v>
      </c>
      <c r="H62" s="93">
        <v>0</v>
      </c>
      <c r="I62" s="93">
        <v>0</v>
      </c>
      <c r="J62" s="93">
        <v>100</v>
      </c>
    </row>
    <row r="63" spans="1:10" x14ac:dyDescent="0.3">
      <c r="A63" s="91" t="s">
        <v>1147</v>
      </c>
      <c r="B63" s="91" t="s">
        <v>1148</v>
      </c>
      <c r="C63" s="91" t="s">
        <v>356</v>
      </c>
      <c r="D63" s="93">
        <v>275</v>
      </c>
      <c r="E63" s="93">
        <v>0</v>
      </c>
      <c r="F63" s="93">
        <v>0</v>
      </c>
      <c r="G63" s="93">
        <v>275</v>
      </c>
      <c r="H63" s="93">
        <v>0</v>
      </c>
      <c r="I63" s="93">
        <v>0</v>
      </c>
      <c r="J63" s="93">
        <v>275</v>
      </c>
    </row>
    <row r="64" spans="1:10" x14ac:dyDescent="0.3">
      <c r="A64" s="91" t="s">
        <v>442</v>
      </c>
      <c r="B64" s="91" t="s">
        <v>443</v>
      </c>
      <c r="C64" s="91" t="s">
        <v>357</v>
      </c>
      <c r="D64" s="93">
        <v>1596</v>
      </c>
      <c r="E64" s="93">
        <v>372</v>
      </c>
      <c r="F64" s="93">
        <v>0</v>
      </c>
      <c r="G64" s="93">
        <v>1224</v>
      </c>
      <c r="H64" s="93">
        <v>1584</v>
      </c>
      <c r="I64" s="93">
        <v>0</v>
      </c>
      <c r="J64" s="93">
        <v>2808</v>
      </c>
    </row>
    <row r="65" spans="1:10" x14ac:dyDescent="0.3">
      <c r="A65" s="91" t="s">
        <v>444</v>
      </c>
      <c r="B65" s="91" t="s">
        <v>445</v>
      </c>
      <c r="C65" s="91" t="s">
        <v>356</v>
      </c>
      <c r="D65" s="93">
        <v>150</v>
      </c>
      <c r="E65" s="93">
        <v>0</v>
      </c>
      <c r="F65" s="93">
        <v>0</v>
      </c>
      <c r="G65" s="93">
        <v>150</v>
      </c>
      <c r="H65" s="93">
        <v>0</v>
      </c>
      <c r="I65" s="93">
        <v>0</v>
      </c>
      <c r="J65" s="93">
        <v>150</v>
      </c>
    </row>
    <row r="66" spans="1:10" x14ac:dyDescent="0.3">
      <c r="A66" s="91" t="s">
        <v>446</v>
      </c>
      <c r="B66" s="91" t="s">
        <v>447</v>
      </c>
      <c r="C66" s="91" t="s">
        <v>357</v>
      </c>
      <c r="D66" s="93">
        <v>0</v>
      </c>
      <c r="E66" s="93">
        <v>0</v>
      </c>
      <c r="F66" s="93">
        <v>0</v>
      </c>
      <c r="G66" s="93">
        <v>0</v>
      </c>
      <c r="H66" s="93">
        <v>720</v>
      </c>
      <c r="I66" s="93">
        <v>0</v>
      </c>
      <c r="J66" s="93">
        <v>720</v>
      </c>
    </row>
    <row r="67" spans="1:10" x14ac:dyDescent="0.3">
      <c r="A67" s="91" t="s">
        <v>1149</v>
      </c>
      <c r="B67" s="91" t="s">
        <v>1150</v>
      </c>
      <c r="C67" s="91" t="s">
        <v>356</v>
      </c>
      <c r="D67" s="93">
        <v>600</v>
      </c>
      <c r="E67" s="93">
        <v>0</v>
      </c>
      <c r="F67" s="93">
        <v>0</v>
      </c>
      <c r="G67" s="93">
        <v>600</v>
      </c>
      <c r="H67" s="93">
        <v>0</v>
      </c>
      <c r="I67" s="93">
        <v>0</v>
      </c>
      <c r="J67" s="93">
        <v>600</v>
      </c>
    </row>
    <row r="68" spans="1:10" x14ac:dyDescent="0.3">
      <c r="A68" s="91" t="s">
        <v>448</v>
      </c>
      <c r="B68" s="91" t="s">
        <v>449</v>
      </c>
      <c r="C68" s="91" t="s">
        <v>357</v>
      </c>
      <c r="D68" s="93">
        <v>0</v>
      </c>
      <c r="E68" s="93">
        <v>0</v>
      </c>
      <c r="F68" s="93">
        <v>0</v>
      </c>
      <c r="G68" s="93">
        <v>0</v>
      </c>
      <c r="H68" s="93">
        <v>720</v>
      </c>
      <c r="I68" s="93">
        <v>0</v>
      </c>
      <c r="J68" s="93">
        <v>720</v>
      </c>
    </row>
    <row r="69" spans="1:10" x14ac:dyDescent="0.3">
      <c r="A69" s="91" t="s">
        <v>450</v>
      </c>
      <c r="B69" s="91" t="s">
        <v>451</v>
      </c>
      <c r="C69" s="91" t="s">
        <v>357</v>
      </c>
      <c r="D69" s="93">
        <v>0</v>
      </c>
      <c r="E69" s="93">
        <v>0</v>
      </c>
      <c r="F69" s="93">
        <v>0</v>
      </c>
      <c r="G69" s="93">
        <v>0</v>
      </c>
      <c r="H69" s="93">
        <v>720</v>
      </c>
      <c r="I69" s="93">
        <v>0</v>
      </c>
      <c r="J69" s="93">
        <v>720</v>
      </c>
    </row>
    <row r="70" spans="1:10" x14ac:dyDescent="0.3">
      <c r="A70" s="91" t="s">
        <v>452</v>
      </c>
      <c r="B70" s="91" t="s">
        <v>453</v>
      </c>
      <c r="C70" s="91" t="s">
        <v>357</v>
      </c>
      <c r="D70" s="93">
        <v>112</v>
      </c>
      <c r="E70" s="93">
        <v>8</v>
      </c>
      <c r="F70" s="93">
        <v>0</v>
      </c>
      <c r="G70" s="93">
        <v>104</v>
      </c>
      <c r="H70" s="93">
        <v>0</v>
      </c>
      <c r="I70" s="93">
        <v>0</v>
      </c>
      <c r="J70" s="93">
        <v>104</v>
      </c>
    </row>
    <row r="71" spans="1:10" x14ac:dyDescent="0.3">
      <c r="A71" s="91" t="s">
        <v>454</v>
      </c>
      <c r="B71" s="91" t="s">
        <v>455</v>
      </c>
      <c r="C71" s="91" t="s">
        <v>357</v>
      </c>
      <c r="D71" s="93">
        <v>112</v>
      </c>
      <c r="E71" s="93">
        <v>8</v>
      </c>
      <c r="F71" s="93">
        <v>0</v>
      </c>
      <c r="G71" s="93">
        <v>104</v>
      </c>
      <c r="H71" s="93">
        <v>0</v>
      </c>
      <c r="I71" s="93">
        <v>0</v>
      </c>
      <c r="J71" s="93">
        <v>104</v>
      </c>
    </row>
    <row r="72" spans="1:10" x14ac:dyDescent="0.3">
      <c r="A72" s="91" t="s">
        <v>456</v>
      </c>
      <c r="B72" s="91" t="s">
        <v>457</v>
      </c>
      <c r="C72" s="91" t="s">
        <v>357</v>
      </c>
      <c r="D72" s="93">
        <v>0</v>
      </c>
      <c r="E72" s="93">
        <v>40</v>
      </c>
      <c r="F72" s="93">
        <v>0</v>
      </c>
      <c r="G72" s="93">
        <v>-40</v>
      </c>
      <c r="H72" s="93">
        <v>0</v>
      </c>
      <c r="I72" s="93">
        <v>0</v>
      </c>
      <c r="J72" s="93">
        <v>-40</v>
      </c>
    </row>
    <row r="73" spans="1:10" x14ac:dyDescent="0.3">
      <c r="A73" s="91" t="s">
        <v>18</v>
      </c>
      <c r="B73" s="91" t="s">
        <v>135</v>
      </c>
      <c r="C73" s="91" t="s">
        <v>357</v>
      </c>
      <c r="D73" s="93">
        <v>1560</v>
      </c>
      <c r="E73" s="93">
        <v>12</v>
      </c>
      <c r="F73" s="93">
        <v>0</v>
      </c>
      <c r="G73" s="93">
        <v>1548</v>
      </c>
      <c r="H73" s="93">
        <v>0</v>
      </c>
      <c r="I73" s="93">
        <v>0</v>
      </c>
      <c r="J73" s="93">
        <v>1548</v>
      </c>
    </row>
    <row r="74" spans="1:10" x14ac:dyDescent="0.3">
      <c r="A74" s="91" t="s">
        <v>458</v>
      </c>
      <c r="B74" s="91" t="s">
        <v>459</v>
      </c>
      <c r="C74" s="91" t="s">
        <v>357</v>
      </c>
      <c r="D74" s="93">
        <v>972</v>
      </c>
      <c r="E74" s="93">
        <v>1008</v>
      </c>
      <c r="F74" s="93">
        <v>0</v>
      </c>
      <c r="G74" s="93">
        <v>-36</v>
      </c>
      <c r="H74" s="93">
        <v>1140</v>
      </c>
      <c r="I74" s="93">
        <v>0</v>
      </c>
      <c r="J74" s="93">
        <v>1104</v>
      </c>
    </row>
    <row r="75" spans="1:10" x14ac:dyDescent="0.3">
      <c r="A75" s="91" t="s">
        <v>460</v>
      </c>
      <c r="B75" s="91" t="s">
        <v>461</v>
      </c>
      <c r="C75" s="91" t="s">
        <v>357</v>
      </c>
      <c r="D75" s="93">
        <v>230400</v>
      </c>
      <c r="E75" s="93">
        <v>0</v>
      </c>
      <c r="F75" s="93">
        <v>0</v>
      </c>
      <c r="G75" s="93">
        <v>230400</v>
      </c>
      <c r="H75" s="93">
        <v>0</v>
      </c>
      <c r="I75" s="93">
        <v>0</v>
      </c>
      <c r="J75" s="93">
        <v>230400</v>
      </c>
    </row>
    <row r="76" spans="1:10" x14ac:dyDescent="0.3">
      <c r="A76" s="91" t="s">
        <v>462</v>
      </c>
      <c r="B76" s="91" t="s">
        <v>463</v>
      </c>
      <c r="C76" s="91" t="s">
        <v>357</v>
      </c>
      <c r="D76" s="93">
        <v>516</v>
      </c>
      <c r="E76" s="93">
        <v>36</v>
      </c>
      <c r="F76" s="93">
        <v>0</v>
      </c>
      <c r="G76" s="93">
        <v>480</v>
      </c>
      <c r="H76" s="93">
        <v>0</v>
      </c>
      <c r="I76" s="93">
        <v>0</v>
      </c>
      <c r="J76" s="93">
        <v>480</v>
      </c>
    </row>
    <row r="77" spans="1:10" x14ac:dyDescent="0.3">
      <c r="A77" s="91" t="s">
        <v>464</v>
      </c>
      <c r="B77" s="91" t="s">
        <v>465</v>
      </c>
      <c r="C77" s="91" t="s">
        <v>357</v>
      </c>
      <c r="D77" s="93">
        <v>240</v>
      </c>
      <c r="E77" s="93">
        <v>0</v>
      </c>
      <c r="F77" s="93">
        <v>0</v>
      </c>
      <c r="G77" s="93">
        <v>240</v>
      </c>
      <c r="H77" s="93">
        <v>0</v>
      </c>
      <c r="I77" s="93">
        <v>0</v>
      </c>
      <c r="J77" s="93">
        <v>240</v>
      </c>
    </row>
    <row r="78" spans="1:10" x14ac:dyDescent="0.3">
      <c r="A78" s="91" t="s">
        <v>466</v>
      </c>
      <c r="B78" s="91" t="s">
        <v>467</v>
      </c>
      <c r="C78" s="91" t="s">
        <v>357</v>
      </c>
      <c r="D78" s="93">
        <v>336</v>
      </c>
      <c r="E78" s="93">
        <v>12</v>
      </c>
      <c r="F78" s="93">
        <v>0</v>
      </c>
      <c r="G78" s="93">
        <v>324</v>
      </c>
      <c r="H78" s="93">
        <v>168</v>
      </c>
      <c r="I78" s="93">
        <v>0</v>
      </c>
      <c r="J78" s="93">
        <v>492</v>
      </c>
    </row>
    <row r="79" spans="1:10" x14ac:dyDescent="0.3">
      <c r="A79" s="91" t="s">
        <v>468</v>
      </c>
      <c r="B79" s="91" t="s">
        <v>469</v>
      </c>
      <c r="C79" s="91" t="s">
        <v>357</v>
      </c>
      <c r="D79" s="93">
        <v>132</v>
      </c>
      <c r="E79" s="93">
        <v>1464</v>
      </c>
      <c r="F79" s="93">
        <v>0</v>
      </c>
      <c r="G79" s="93">
        <v>-1332</v>
      </c>
      <c r="H79" s="93">
        <v>1284</v>
      </c>
      <c r="I79" s="93">
        <v>0</v>
      </c>
      <c r="J79" s="93">
        <v>-48</v>
      </c>
    </row>
    <row r="80" spans="1:10" x14ac:dyDescent="0.3">
      <c r="A80" s="91" t="s">
        <v>470</v>
      </c>
      <c r="B80" s="91" t="s">
        <v>471</v>
      </c>
      <c r="C80" s="91" t="s">
        <v>357</v>
      </c>
      <c r="D80" s="93">
        <v>3144</v>
      </c>
      <c r="E80" s="93">
        <v>1044</v>
      </c>
      <c r="F80" s="93">
        <v>0</v>
      </c>
      <c r="G80" s="93">
        <v>2100</v>
      </c>
      <c r="H80" s="93">
        <v>372</v>
      </c>
      <c r="I80" s="93">
        <v>0</v>
      </c>
      <c r="J80" s="93">
        <v>2472</v>
      </c>
    </row>
    <row r="81" spans="1:10" x14ac:dyDescent="0.3">
      <c r="A81" s="91" t="s">
        <v>472</v>
      </c>
      <c r="B81" s="91" t="s">
        <v>473</v>
      </c>
      <c r="C81" s="91" t="s">
        <v>357</v>
      </c>
      <c r="D81" s="93">
        <v>0</v>
      </c>
      <c r="E81" s="93">
        <v>0</v>
      </c>
      <c r="F81" s="93">
        <v>0</v>
      </c>
      <c r="G81" s="93">
        <v>0</v>
      </c>
      <c r="H81" s="93">
        <v>240</v>
      </c>
      <c r="I81" s="93">
        <v>0</v>
      </c>
      <c r="J81" s="93">
        <v>240</v>
      </c>
    </row>
    <row r="82" spans="1:10" x14ac:dyDescent="0.3">
      <c r="A82" s="91" t="s">
        <v>474</v>
      </c>
      <c r="B82" s="91" t="s">
        <v>475</v>
      </c>
      <c r="C82" s="91" t="s">
        <v>357</v>
      </c>
      <c r="D82" s="93">
        <v>24</v>
      </c>
      <c r="E82" s="93">
        <v>0</v>
      </c>
      <c r="F82" s="93">
        <v>0</v>
      </c>
      <c r="G82" s="93">
        <v>24</v>
      </c>
      <c r="H82" s="93">
        <v>0</v>
      </c>
      <c r="I82" s="93">
        <v>0</v>
      </c>
      <c r="J82" s="93">
        <v>24</v>
      </c>
    </row>
    <row r="83" spans="1:10" x14ac:dyDescent="0.3">
      <c r="A83" s="91" t="s">
        <v>19</v>
      </c>
      <c r="B83" s="91" t="s">
        <v>136</v>
      </c>
      <c r="C83" s="91" t="s">
        <v>357</v>
      </c>
      <c r="D83" s="93">
        <v>24</v>
      </c>
      <c r="E83" s="93">
        <v>60</v>
      </c>
      <c r="F83" s="93">
        <v>0</v>
      </c>
      <c r="G83" s="93">
        <v>-36</v>
      </c>
      <c r="H83" s="93">
        <v>0</v>
      </c>
      <c r="I83" s="93">
        <v>0</v>
      </c>
      <c r="J83" s="93">
        <v>-36</v>
      </c>
    </row>
    <row r="84" spans="1:10" x14ac:dyDescent="0.3">
      <c r="A84" s="91" t="s">
        <v>476</v>
      </c>
      <c r="B84" s="91" t="s">
        <v>477</v>
      </c>
      <c r="C84" s="91" t="s">
        <v>357</v>
      </c>
      <c r="D84" s="93">
        <v>3720</v>
      </c>
      <c r="E84" s="93">
        <v>1032</v>
      </c>
      <c r="F84" s="93">
        <v>0</v>
      </c>
      <c r="G84" s="93">
        <v>2688</v>
      </c>
      <c r="H84" s="93">
        <v>360</v>
      </c>
      <c r="I84" s="93">
        <v>0</v>
      </c>
      <c r="J84" s="93">
        <v>3048</v>
      </c>
    </row>
    <row r="85" spans="1:10" x14ac:dyDescent="0.3">
      <c r="A85" s="91" t="s">
        <v>478</v>
      </c>
      <c r="B85" s="91" t="s">
        <v>479</v>
      </c>
      <c r="C85" s="91" t="s">
        <v>357</v>
      </c>
      <c r="D85" s="93">
        <v>288</v>
      </c>
      <c r="E85" s="93">
        <v>72</v>
      </c>
      <c r="F85" s="93">
        <v>0</v>
      </c>
      <c r="G85" s="93">
        <v>216</v>
      </c>
      <c r="H85" s="93">
        <v>48</v>
      </c>
      <c r="I85" s="93">
        <v>0</v>
      </c>
      <c r="J85" s="93">
        <v>264</v>
      </c>
    </row>
    <row r="86" spans="1:10" x14ac:dyDescent="0.3">
      <c r="A86" s="91" t="s">
        <v>20</v>
      </c>
      <c r="B86" s="91" t="s">
        <v>137</v>
      </c>
      <c r="C86" s="91" t="s">
        <v>357</v>
      </c>
      <c r="D86" s="93">
        <v>0</v>
      </c>
      <c r="E86" s="93">
        <v>72</v>
      </c>
      <c r="F86" s="93">
        <v>0</v>
      </c>
      <c r="G86" s="93">
        <v>-72</v>
      </c>
      <c r="H86" s="93">
        <v>0</v>
      </c>
      <c r="I86" s="93">
        <v>0</v>
      </c>
      <c r="J86" s="93">
        <v>-72</v>
      </c>
    </row>
    <row r="87" spans="1:10" x14ac:dyDescent="0.3">
      <c r="A87" s="91" t="s">
        <v>480</v>
      </c>
      <c r="B87" s="91" t="s">
        <v>481</v>
      </c>
      <c r="C87" s="91" t="s">
        <v>357</v>
      </c>
      <c r="D87" s="93">
        <v>1464</v>
      </c>
      <c r="E87" s="93">
        <v>168</v>
      </c>
      <c r="F87" s="93">
        <v>0</v>
      </c>
      <c r="G87" s="93">
        <v>1296</v>
      </c>
      <c r="H87" s="93">
        <v>192</v>
      </c>
      <c r="I87" s="93">
        <v>0</v>
      </c>
      <c r="J87" s="93">
        <v>1488</v>
      </c>
    </row>
    <row r="88" spans="1:10" x14ac:dyDescent="0.3">
      <c r="A88" s="91" t="s">
        <v>482</v>
      </c>
      <c r="B88" s="91" t="s">
        <v>483</v>
      </c>
      <c r="C88" s="91" t="s">
        <v>357</v>
      </c>
      <c r="D88" s="93">
        <v>0</v>
      </c>
      <c r="E88" s="93">
        <v>120</v>
      </c>
      <c r="F88" s="93">
        <v>0</v>
      </c>
      <c r="G88" s="93">
        <v>-120</v>
      </c>
      <c r="H88" s="93">
        <v>360</v>
      </c>
      <c r="I88" s="93">
        <v>0</v>
      </c>
      <c r="J88" s="93">
        <v>240</v>
      </c>
    </row>
    <row r="89" spans="1:10" x14ac:dyDescent="0.3">
      <c r="A89" s="91" t="s">
        <v>484</v>
      </c>
      <c r="B89" s="91" t="s">
        <v>485</v>
      </c>
      <c r="C89" s="91" t="s">
        <v>357</v>
      </c>
      <c r="D89" s="93">
        <v>0</v>
      </c>
      <c r="E89" s="93">
        <v>48</v>
      </c>
      <c r="F89" s="93">
        <v>0</v>
      </c>
      <c r="G89" s="93">
        <v>-48</v>
      </c>
      <c r="H89" s="93">
        <v>504</v>
      </c>
      <c r="I89" s="93">
        <v>0</v>
      </c>
      <c r="J89" s="93">
        <v>456</v>
      </c>
    </row>
    <row r="90" spans="1:10" x14ac:dyDescent="0.3">
      <c r="A90" s="91" t="s">
        <v>486</v>
      </c>
      <c r="B90" s="91" t="s">
        <v>487</v>
      </c>
      <c r="C90" s="91" t="s">
        <v>357</v>
      </c>
      <c r="D90" s="93">
        <v>1344</v>
      </c>
      <c r="E90" s="93">
        <v>24</v>
      </c>
      <c r="F90" s="93">
        <v>0</v>
      </c>
      <c r="G90" s="93">
        <v>1320</v>
      </c>
      <c r="H90" s="93">
        <v>0</v>
      </c>
      <c r="I90" s="93">
        <v>0</v>
      </c>
      <c r="J90" s="93">
        <v>1320</v>
      </c>
    </row>
    <row r="91" spans="1:10" x14ac:dyDescent="0.3">
      <c r="A91" s="91" t="s">
        <v>488</v>
      </c>
      <c r="B91" s="91" t="s">
        <v>489</v>
      </c>
      <c r="C91" s="91" t="s">
        <v>357</v>
      </c>
      <c r="D91" s="93">
        <v>12</v>
      </c>
      <c r="E91" s="93">
        <v>84</v>
      </c>
      <c r="F91" s="93">
        <v>0</v>
      </c>
      <c r="G91" s="93">
        <v>-72</v>
      </c>
      <c r="H91" s="93">
        <v>264</v>
      </c>
      <c r="I91" s="93">
        <v>0</v>
      </c>
      <c r="J91" s="93">
        <v>192</v>
      </c>
    </row>
    <row r="92" spans="1:10" x14ac:dyDescent="0.3">
      <c r="A92" s="91" t="s">
        <v>1151</v>
      </c>
      <c r="B92" s="91" t="s">
        <v>803</v>
      </c>
      <c r="C92" s="91" t="s">
        <v>357</v>
      </c>
      <c r="D92" s="93">
        <v>4320</v>
      </c>
      <c r="E92" s="93">
        <v>0</v>
      </c>
      <c r="F92" s="93">
        <v>0</v>
      </c>
      <c r="G92" s="93">
        <v>4320</v>
      </c>
      <c r="H92" s="93">
        <v>0</v>
      </c>
      <c r="I92" s="93">
        <v>0</v>
      </c>
      <c r="J92" s="93">
        <v>4320</v>
      </c>
    </row>
    <row r="93" spans="1:10" x14ac:dyDescent="0.3">
      <c r="A93" s="91" t="s">
        <v>490</v>
      </c>
      <c r="B93" s="91" t="s">
        <v>491</v>
      </c>
      <c r="C93" s="91" t="s">
        <v>357</v>
      </c>
      <c r="D93" s="93">
        <v>960</v>
      </c>
      <c r="E93" s="93">
        <v>96</v>
      </c>
      <c r="F93" s="93">
        <v>0</v>
      </c>
      <c r="G93" s="93">
        <v>864</v>
      </c>
      <c r="H93" s="93">
        <v>0</v>
      </c>
      <c r="I93" s="93">
        <v>0</v>
      </c>
      <c r="J93" s="93">
        <v>864</v>
      </c>
    </row>
    <row r="94" spans="1:10" x14ac:dyDescent="0.3">
      <c r="A94" s="91" t="s">
        <v>492</v>
      </c>
      <c r="B94" s="91" t="s">
        <v>493</v>
      </c>
      <c r="C94" s="91" t="s">
        <v>357</v>
      </c>
      <c r="D94" s="93">
        <v>0</v>
      </c>
      <c r="E94" s="93">
        <v>0</v>
      </c>
      <c r="F94" s="93">
        <v>0</v>
      </c>
      <c r="G94" s="93">
        <v>0</v>
      </c>
      <c r="H94" s="93">
        <v>1056</v>
      </c>
      <c r="I94" s="93">
        <v>0</v>
      </c>
      <c r="J94" s="93">
        <v>1056</v>
      </c>
    </row>
    <row r="95" spans="1:10" x14ac:dyDescent="0.3">
      <c r="A95" s="91" t="s">
        <v>494</v>
      </c>
      <c r="B95" s="91" t="s">
        <v>495</v>
      </c>
      <c r="C95" s="91" t="s">
        <v>357</v>
      </c>
      <c r="D95" s="93">
        <v>528</v>
      </c>
      <c r="E95" s="93">
        <v>216</v>
      </c>
      <c r="F95" s="93">
        <v>0</v>
      </c>
      <c r="G95" s="93">
        <v>312</v>
      </c>
      <c r="H95" s="93">
        <v>1008</v>
      </c>
      <c r="I95" s="93">
        <v>0</v>
      </c>
      <c r="J95" s="93">
        <v>1320</v>
      </c>
    </row>
    <row r="96" spans="1:10" x14ac:dyDescent="0.3">
      <c r="A96" s="91" t="s">
        <v>496</v>
      </c>
      <c r="B96" s="91" t="s">
        <v>497</v>
      </c>
      <c r="C96" s="91" t="s">
        <v>357</v>
      </c>
      <c r="D96" s="93">
        <v>0</v>
      </c>
      <c r="E96" s="93">
        <v>0</v>
      </c>
      <c r="F96" s="93">
        <v>0</v>
      </c>
      <c r="G96" s="93">
        <v>0</v>
      </c>
      <c r="H96" s="93">
        <v>480</v>
      </c>
      <c r="I96" s="93">
        <v>0</v>
      </c>
      <c r="J96" s="93">
        <v>480</v>
      </c>
    </row>
    <row r="97" spans="1:10" x14ac:dyDescent="0.3">
      <c r="A97" s="91" t="s">
        <v>498</v>
      </c>
      <c r="B97" s="91" t="s">
        <v>499</v>
      </c>
      <c r="C97" s="91" t="s">
        <v>357</v>
      </c>
      <c r="D97" s="93">
        <v>0</v>
      </c>
      <c r="E97" s="93">
        <v>0</v>
      </c>
      <c r="F97" s="93">
        <v>0</v>
      </c>
      <c r="G97" s="93">
        <v>0</v>
      </c>
      <c r="H97" s="93">
        <v>120</v>
      </c>
      <c r="I97" s="93">
        <v>0</v>
      </c>
      <c r="J97" s="93">
        <v>120</v>
      </c>
    </row>
    <row r="98" spans="1:10" x14ac:dyDescent="0.3">
      <c r="A98" s="91" t="s">
        <v>21</v>
      </c>
      <c r="B98" s="91" t="s">
        <v>138</v>
      </c>
      <c r="C98" s="91" t="s">
        <v>357</v>
      </c>
      <c r="D98" s="93">
        <v>468</v>
      </c>
      <c r="E98" s="93">
        <v>72</v>
      </c>
      <c r="F98" s="93">
        <v>0</v>
      </c>
      <c r="G98" s="93">
        <v>396</v>
      </c>
      <c r="H98" s="93">
        <v>0</v>
      </c>
      <c r="I98" s="93">
        <v>0</v>
      </c>
      <c r="J98" s="93">
        <v>396</v>
      </c>
    </row>
    <row r="99" spans="1:10" x14ac:dyDescent="0.3">
      <c r="A99" s="91" t="s">
        <v>22</v>
      </c>
      <c r="B99" s="91" t="s">
        <v>139</v>
      </c>
      <c r="C99" s="91" t="s">
        <v>357</v>
      </c>
      <c r="D99" s="93">
        <v>0</v>
      </c>
      <c r="E99" s="93">
        <v>72</v>
      </c>
      <c r="F99" s="93">
        <v>0</v>
      </c>
      <c r="G99" s="93">
        <v>-72</v>
      </c>
      <c r="H99" s="93">
        <v>0</v>
      </c>
      <c r="I99" s="93">
        <v>0</v>
      </c>
      <c r="J99" s="93">
        <v>-72</v>
      </c>
    </row>
    <row r="100" spans="1:10" x14ac:dyDescent="0.3">
      <c r="A100" s="91" t="s">
        <v>24</v>
      </c>
      <c r="B100" s="91" t="s">
        <v>141</v>
      </c>
      <c r="C100" s="91" t="s">
        <v>357</v>
      </c>
      <c r="D100" s="93">
        <v>192</v>
      </c>
      <c r="E100" s="93">
        <v>60</v>
      </c>
      <c r="F100" s="93">
        <v>0</v>
      </c>
      <c r="G100" s="93">
        <v>132</v>
      </c>
      <c r="H100" s="93">
        <v>0</v>
      </c>
      <c r="I100" s="93">
        <v>0</v>
      </c>
      <c r="J100" s="93">
        <v>132</v>
      </c>
    </row>
    <row r="101" spans="1:10" x14ac:dyDescent="0.3">
      <c r="A101" s="91" t="s">
        <v>27</v>
      </c>
      <c r="B101" s="91" t="s">
        <v>500</v>
      </c>
      <c r="C101" s="91" t="s">
        <v>357</v>
      </c>
      <c r="D101" s="93">
        <v>120</v>
      </c>
      <c r="E101" s="93">
        <v>36</v>
      </c>
      <c r="F101" s="93">
        <v>0</v>
      </c>
      <c r="G101" s="93">
        <v>84</v>
      </c>
      <c r="H101" s="93">
        <v>0</v>
      </c>
      <c r="I101" s="93">
        <v>0</v>
      </c>
      <c r="J101" s="93">
        <v>84</v>
      </c>
    </row>
    <row r="102" spans="1:10" x14ac:dyDescent="0.3">
      <c r="A102" s="91" t="s">
        <v>28</v>
      </c>
      <c r="B102" s="91" t="s">
        <v>145</v>
      </c>
      <c r="C102" s="91" t="s">
        <v>357</v>
      </c>
      <c r="D102" s="93">
        <v>0</v>
      </c>
      <c r="E102" s="93">
        <v>48</v>
      </c>
      <c r="F102" s="93">
        <v>0</v>
      </c>
      <c r="G102" s="93">
        <v>-48</v>
      </c>
      <c r="H102" s="93">
        <v>0</v>
      </c>
      <c r="I102" s="93">
        <v>0</v>
      </c>
      <c r="J102" s="93">
        <v>-48</v>
      </c>
    </row>
    <row r="103" spans="1:10" x14ac:dyDescent="0.3">
      <c r="A103" s="91" t="s">
        <v>501</v>
      </c>
      <c r="B103" s="91" t="s">
        <v>502</v>
      </c>
      <c r="C103" s="91" t="s">
        <v>357</v>
      </c>
      <c r="D103" s="93">
        <v>0</v>
      </c>
      <c r="E103" s="93">
        <v>0</v>
      </c>
      <c r="F103" s="93">
        <v>0</v>
      </c>
      <c r="G103" s="93">
        <v>0</v>
      </c>
      <c r="H103" s="93">
        <v>240</v>
      </c>
      <c r="I103" s="93">
        <v>0</v>
      </c>
      <c r="J103" s="93">
        <v>240</v>
      </c>
    </row>
    <row r="104" spans="1:10" x14ac:dyDescent="0.3">
      <c r="A104" s="91" t="s">
        <v>503</v>
      </c>
      <c r="B104" s="91" t="s">
        <v>504</v>
      </c>
      <c r="C104" s="91" t="s">
        <v>357</v>
      </c>
      <c r="D104" s="93">
        <v>0</v>
      </c>
      <c r="E104" s="93">
        <v>0</v>
      </c>
      <c r="F104" s="93">
        <v>0</v>
      </c>
      <c r="G104" s="93">
        <v>0</v>
      </c>
      <c r="H104" s="93">
        <v>240</v>
      </c>
      <c r="I104" s="93">
        <v>0</v>
      </c>
      <c r="J104" s="93">
        <v>240</v>
      </c>
    </row>
    <row r="105" spans="1:10" x14ac:dyDescent="0.3">
      <c r="A105" s="91" t="s">
        <v>505</v>
      </c>
      <c r="B105" s="91" t="s">
        <v>506</v>
      </c>
      <c r="C105" s="91" t="s">
        <v>357</v>
      </c>
      <c r="D105" s="93">
        <v>0</v>
      </c>
      <c r="E105" s="93">
        <v>0</v>
      </c>
      <c r="F105" s="93">
        <v>0</v>
      </c>
      <c r="G105" s="93">
        <v>0</v>
      </c>
      <c r="H105" s="93">
        <v>240</v>
      </c>
      <c r="I105" s="93">
        <v>0</v>
      </c>
      <c r="J105" s="93">
        <v>240</v>
      </c>
    </row>
    <row r="106" spans="1:10" x14ac:dyDescent="0.3">
      <c r="A106" s="91" t="s">
        <v>507</v>
      </c>
      <c r="B106" s="91" t="s">
        <v>508</v>
      </c>
      <c r="C106" s="91" t="s">
        <v>357</v>
      </c>
      <c r="D106" s="93">
        <v>0</v>
      </c>
      <c r="E106" s="93">
        <v>0</v>
      </c>
      <c r="F106" s="93">
        <v>0</v>
      </c>
      <c r="G106" s="93">
        <v>0</v>
      </c>
      <c r="H106" s="93">
        <v>240</v>
      </c>
      <c r="I106" s="93">
        <v>0</v>
      </c>
      <c r="J106" s="93">
        <v>240</v>
      </c>
    </row>
    <row r="107" spans="1:10" x14ac:dyDescent="0.3">
      <c r="A107" s="91" t="s">
        <v>509</v>
      </c>
      <c r="B107" s="91" t="s">
        <v>510</v>
      </c>
      <c r="C107" s="91" t="s">
        <v>357</v>
      </c>
      <c r="D107" s="93">
        <v>0</v>
      </c>
      <c r="E107" s="93">
        <v>0</v>
      </c>
      <c r="F107" s="93">
        <v>0</v>
      </c>
      <c r="G107" s="93">
        <v>0</v>
      </c>
      <c r="H107" s="93">
        <v>960</v>
      </c>
      <c r="I107" s="93">
        <v>0</v>
      </c>
      <c r="J107" s="93">
        <v>960</v>
      </c>
    </row>
    <row r="108" spans="1:10" x14ac:dyDescent="0.3">
      <c r="A108" s="91" t="s">
        <v>511</v>
      </c>
      <c r="B108" s="91" t="s">
        <v>512</v>
      </c>
      <c r="C108" s="91" t="s">
        <v>357</v>
      </c>
      <c r="D108" s="93">
        <v>408</v>
      </c>
      <c r="E108" s="93">
        <v>24</v>
      </c>
      <c r="F108" s="93">
        <v>0</v>
      </c>
      <c r="G108" s="93">
        <v>384</v>
      </c>
      <c r="H108" s="93">
        <v>0</v>
      </c>
      <c r="I108" s="93">
        <v>0</v>
      </c>
      <c r="J108" s="93">
        <v>384</v>
      </c>
    </row>
    <row r="109" spans="1:10" x14ac:dyDescent="0.3">
      <c r="A109" s="91" t="s">
        <v>513</v>
      </c>
      <c r="B109" s="91" t="s">
        <v>514</v>
      </c>
      <c r="C109" s="91" t="s">
        <v>357</v>
      </c>
      <c r="D109" s="93">
        <v>264</v>
      </c>
      <c r="E109" s="93">
        <v>24</v>
      </c>
      <c r="F109" s="93">
        <v>0</v>
      </c>
      <c r="G109" s="93">
        <v>240</v>
      </c>
      <c r="H109" s="93">
        <v>0</v>
      </c>
      <c r="I109" s="93">
        <v>0</v>
      </c>
      <c r="J109" s="93">
        <v>240</v>
      </c>
    </row>
    <row r="110" spans="1:10" x14ac:dyDescent="0.3">
      <c r="A110" s="91" t="s">
        <v>515</v>
      </c>
      <c r="B110" s="91" t="s">
        <v>516</v>
      </c>
      <c r="C110" s="91" t="s">
        <v>357</v>
      </c>
      <c r="D110" s="93">
        <v>552</v>
      </c>
      <c r="E110" s="93">
        <v>72</v>
      </c>
      <c r="F110" s="93">
        <v>0</v>
      </c>
      <c r="G110" s="93">
        <v>480</v>
      </c>
      <c r="H110" s="93">
        <v>0</v>
      </c>
      <c r="I110" s="93">
        <v>0</v>
      </c>
      <c r="J110" s="93">
        <v>480</v>
      </c>
    </row>
    <row r="111" spans="1:10" x14ac:dyDescent="0.3">
      <c r="A111" s="91" t="s">
        <v>517</v>
      </c>
      <c r="B111" s="91" t="s">
        <v>518</v>
      </c>
      <c r="C111" s="91" t="s">
        <v>357</v>
      </c>
      <c r="D111" s="93">
        <v>264</v>
      </c>
      <c r="E111" s="93">
        <v>24</v>
      </c>
      <c r="F111" s="93">
        <v>0</v>
      </c>
      <c r="G111" s="93">
        <v>240</v>
      </c>
      <c r="H111" s="93">
        <v>0</v>
      </c>
      <c r="I111" s="93">
        <v>0</v>
      </c>
      <c r="J111" s="93">
        <v>240</v>
      </c>
    </row>
    <row r="112" spans="1:10" x14ac:dyDescent="0.3">
      <c r="A112" s="91" t="s">
        <v>519</v>
      </c>
      <c r="B112" s="91" t="s">
        <v>520</v>
      </c>
      <c r="C112" s="91" t="s">
        <v>357</v>
      </c>
      <c r="D112" s="93">
        <v>408</v>
      </c>
      <c r="E112" s="93">
        <v>96</v>
      </c>
      <c r="F112" s="93">
        <v>0</v>
      </c>
      <c r="G112" s="93">
        <v>312</v>
      </c>
      <c r="H112" s="93">
        <v>792</v>
      </c>
      <c r="I112" s="93">
        <v>0</v>
      </c>
      <c r="J112" s="93">
        <v>1104</v>
      </c>
    </row>
    <row r="113" spans="1:10" x14ac:dyDescent="0.3">
      <c r="A113" s="91" t="s">
        <v>521</v>
      </c>
      <c r="B113" s="91" t="s">
        <v>522</v>
      </c>
      <c r="C113" s="91" t="s">
        <v>357</v>
      </c>
      <c r="D113" s="93">
        <v>780</v>
      </c>
      <c r="E113" s="93">
        <v>108</v>
      </c>
      <c r="F113" s="93">
        <v>0</v>
      </c>
      <c r="G113" s="93">
        <v>672</v>
      </c>
      <c r="H113" s="93">
        <v>1524</v>
      </c>
      <c r="I113" s="93">
        <v>0</v>
      </c>
      <c r="J113" s="93">
        <v>2196</v>
      </c>
    </row>
    <row r="114" spans="1:10" x14ac:dyDescent="0.3">
      <c r="A114" s="91" t="s">
        <v>523</v>
      </c>
      <c r="B114" s="91" t="s">
        <v>524</v>
      </c>
      <c r="C114" s="91" t="s">
        <v>357</v>
      </c>
      <c r="D114" s="93">
        <v>324</v>
      </c>
      <c r="E114" s="93">
        <v>72</v>
      </c>
      <c r="F114" s="93">
        <v>0</v>
      </c>
      <c r="G114" s="93">
        <v>252</v>
      </c>
      <c r="H114" s="93">
        <v>0</v>
      </c>
      <c r="I114" s="93">
        <v>0</v>
      </c>
      <c r="J114" s="93">
        <v>252</v>
      </c>
    </row>
    <row r="115" spans="1:10" x14ac:dyDescent="0.3">
      <c r="A115" s="91" t="s">
        <v>525</v>
      </c>
      <c r="B115" s="91" t="s">
        <v>526</v>
      </c>
      <c r="C115" s="91" t="s">
        <v>357</v>
      </c>
      <c r="D115" s="93">
        <v>0</v>
      </c>
      <c r="E115" s="93">
        <v>0</v>
      </c>
      <c r="F115" s="93">
        <v>0</v>
      </c>
      <c r="G115" s="93">
        <v>0</v>
      </c>
      <c r="H115" s="93">
        <v>240</v>
      </c>
      <c r="I115" s="93">
        <v>0</v>
      </c>
      <c r="J115" s="93">
        <v>240</v>
      </c>
    </row>
    <row r="116" spans="1:10" x14ac:dyDescent="0.3">
      <c r="A116" s="91" t="s">
        <v>32</v>
      </c>
      <c r="B116" s="91" t="s">
        <v>149</v>
      </c>
      <c r="C116" s="91" t="s">
        <v>357</v>
      </c>
      <c r="D116" s="93">
        <v>1496</v>
      </c>
      <c r="E116" s="93">
        <v>44</v>
      </c>
      <c r="F116" s="93">
        <v>0</v>
      </c>
      <c r="G116" s="93">
        <v>1452</v>
      </c>
      <c r="H116" s="93">
        <v>0</v>
      </c>
      <c r="I116" s="93">
        <v>0</v>
      </c>
      <c r="J116" s="93">
        <v>1452</v>
      </c>
    </row>
    <row r="117" spans="1:10" x14ac:dyDescent="0.3">
      <c r="A117" s="91" t="s">
        <v>33</v>
      </c>
      <c r="B117" s="91" t="s">
        <v>150</v>
      </c>
      <c r="C117" s="91" t="s">
        <v>357</v>
      </c>
      <c r="D117" s="93">
        <v>8400</v>
      </c>
      <c r="E117" s="93">
        <v>168</v>
      </c>
      <c r="F117" s="93">
        <v>0</v>
      </c>
      <c r="G117" s="93">
        <v>8232</v>
      </c>
      <c r="H117" s="93">
        <v>0</v>
      </c>
      <c r="I117" s="93">
        <v>0</v>
      </c>
      <c r="J117" s="93">
        <v>8232</v>
      </c>
    </row>
    <row r="118" spans="1:10" x14ac:dyDescent="0.3">
      <c r="A118" s="91" t="s">
        <v>34</v>
      </c>
      <c r="B118" s="91" t="s">
        <v>151</v>
      </c>
      <c r="C118" s="91" t="s">
        <v>357</v>
      </c>
      <c r="D118" s="93">
        <v>6696</v>
      </c>
      <c r="E118" s="93">
        <v>24</v>
      </c>
      <c r="F118" s="93">
        <v>0</v>
      </c>
      <c r="G118" s="93">
        <v>6672</v>
      </c>
      <c r="H118" s="93">
        <v>0</v>
      </c>
      <c r="I118" s="93">
        <v>0</v>
      </c>
      <c r="J118" s="93">
        <v>6672</v>
      </c>
    </row>
    <row r="119" spans="1:10" x14ac:dyDescent="0.3">
      <c r="A119" s="91" t="s">
        <v>35</v>
      </c>
      <c r="B119" s="91" t="s">
        <v>152</v>
      </c>
      <c r="C119" s="91" t="s">
        <v>357</v>
      </c>
      <c r="D119" s="93">
        <v>648</v>
      </c>
      <c r="E119" s="93">
        <v>36</v>
      </c>
      <c r="F119" s="93">
        <v>0</v>
      </c>
      <c r="G119" s="93">
        <v>612</v>
      </c>
      <c r="H119" s="93">
        <v>0</v>
      </c>
      <c r="I119" s="93">
        <v>0</v>
      </c>
      <c r="J119" s="93">
        <v>612</v>
      </c>
    </row>
    <row r="120" spans="1:10" x14ac:dyDescent="0.3">
      <c r="A120" s="91" t="s">
        <v>36</v>
      </c>
      <c r="B120" s="91" t="s">
        <v>153</v>
      </c>
      <c r="C120" s="91" t="s">
        <v>357</v>
      </c>
      <c r="D120" s="93">
        <v>120</v>
      </c>
      <c r="E120" s="93">
        <v>0</v>
      </c>
      <c r="F120" s="93">
        <v>0</v>
      </c>
      <c r="G120" s="93">
        <v>120</v>
      </c>
      <c r="H120" s="93">
        <v>0</v>
      </c>
      <c r="I120" s="93">
        <v>0</v>
      </c>
      <c r="J120" s="93">
        <v>120</v>
      </c>
    </row>
    <row r="121" spans="1:10" x14ac:dyDescent="0.3">
      <c r="A121" s="91" t="s">
        <v>527</v>
      </c>
      <c r="B121" s="91" t="s">
        <v>528</v>
      </c>
      <c r="C121" s="91" t="s">
        <v>357</v>
      </c>
      <c r="D121" s="93">
        <v>792</v>
      </c>
      <c r="E121" s="93">
        <v>12</v>
      </c>
      <c r="F121" s="93">
        <v>0</v>
      </c>
      <c r="G121" s="93">
        <v>780</v>
      </c>
      <c r="H121" s="93">
        <v>0</v>
      </c>
      <c r="I121" s="93">
        <v>0</v>
      </c>
      <c r="J121" s="93">
        <v>780</v>
      </c>
    </row>
    <row r="122" spans="1:10" x14ac:dyDescent="0.3">
      <c r="A122" s="91" t="s">
        <v>1152</v>
      </c>
      <c r="B122" s="91" t="s">
        <v>1153</v>
      </c>
      <c r="C122" s="91" t="s">
        <v>357</v>
      </c>
      <c r="D122" s="93">
        <v>9908</v>
      </c>
      <c r="E122" s="93">
        <v>0</v>
      </c>
      <c r="F122" s="93">
        <v>0</v>
      </c>
      <c r="G122" s="93">
        <v>9908</v>
      </c>
      <c r="H122" s="93">
        <v>0</v>
      </c>
      <c r="I122" s="93">
        <v>0</v>
      </c>
      <c r="J122" s="93">
        <v>9908</v>
      </c>
    </row>
    <row r="123" spans="1:10" x14ac:dyDescent="0.3">
      <c r="A123" s="91" t="s">
        <v>1154</v>
      </c>
      <c r="B123" s="91" t="s">
        <v>1155</v>
      </c>
      <c r="C123" s="91" t="s">
        <v>357</v>
      </c>
      <c r="D123" s="93">
        <v>1392</v>
      </c>
      <c r="E123" s="93">
        <v>0</v>
      </c>
      <c r="F123" s="93">
        <v>0</v>
      </c>
      <c r="G123" s="93">
        <v>1392</v>
      </c>
      <c r="H123" s="93">
        <v>0</v>
      </c>
      <c r="I123" s="93">
        <v>0</v>
      </c>
      <c r="J123" s="93">
        <v>1392</v>
      </c>
    </row>
    <row r="124" spans="1:10" x14ac:dyDescent="0.3">
      <c r="A124" s="91" t="s">
        <v>1156</v>
      </c>
      <c r="B124" s="91" t="s">
        <v>1157</v>
      </c>
      <c r="C124" s="91" t="s">
        <v>357</v>
      </c>
      <c r="D124" s="93">
        <v>2256</v>
      </c>
      <c r="E124" s="93">
        <v>0</v>
      </c>
      <c r="F124" s="93">
        <v>0</v>
      </c>
      <c r="G124" s="93">
        <v>2256</v>
      </c>
      <c r="H124" s="93">
        <v>0</v>
      </c>
      <c r="I124" s="93">
        <v>0</v>
      </c>
      <c r="J124" s="93">
        <v>2256</v>
      </c>
    </row>
    <row r="125" spans="1:10" x14ac:dyDescent="0.3">
      <c r="A125" s="91" t="s">
        <v>1158</v>
      </c>
      <c r="B125" s="91" t="s">
        <v>1159</v>
      </c>
      <c r="C125" s="91" t="s">
        <v>357</v>
      </c>
      <c r="D125" s="93">
        <v>840</v>
      </c>
      <c r="E125" s="93">
        <v>0</v>
      </c>
      <c r="F125" s="93">
        <v>0</v>
      </c>
      <c r="G125" s="93">
        <v>840</v>
      </c>
      <c r="H125" s="93">
        <v>0</v>
      </c>
      <c r="I125" s="93">
        <v>0</v>
      </c>
      <c r="J125" s="93">
        <v>840</v>
      </c>
    </row>
    <row r="126" spans="1:10" x14ac:dyDescent="0.3">
      <c r="A126" s="91" t="s">
        <v>1160</v>
      </c>
      <c r="B126" s="91" t="s">
        <v>1161</v>
      </c>
      <c r="C126" s="91" t="s">
        <v>357</v>
      </c>
      <c r="D126" s="93">
        <v>3240</v>
      </c>
      <c r="E126" s="93">
        <v>0</v>
      </c>
      <c r="F126" s="93">
        <v>0</v>
      </c>
      <c r="G126" s="93">
        <v>3240</v>
      </c>
      <c r="H126" s="93">
        <v>0</v>
      </c>
      <c r="I126" s="93">
        <v>0</v>
      </c>
      <c r="J126" s="93">
        <v>3240</v>
      </c>
    </row>
    <row r="127" spans="1:10" x14ac:dyDescent="0.3">
      <c r="A127" s="91" t="s">
        <v>1162</v>
      </c>
      <c r="B127" s="91" t="s">
        <v>1163</v>
      </c>
      <c r="C127" s="91" t="s">
        <v>357</v>
      </c>
      <c r="D127" s="93">
        <v>1680</v>
      </c>
      <c r="E127" s="93">
        <v>0</v>
      </c>
      <c r="F127" s="93">
        <v>0</v>
      </c>
      <c r="G127" s="93">
        <v>1680</v>
      </c>
      <c r="H127" s="93">
        <v>0</v>
      </c>
      <c r="I127" s="93">
        <v>0</v>
      </c>
      <c r="J127" s="93">
        <v>1680</v>
      </c>
    </row>
    <row r="128" spans="1:10" x14ac:dyDescent="0.3">
      <c r="A128" s="91" t="s">
        <v>529</v>
      </c>
      <c r="B128" s="91" t="s">
        <v>530</v>
      </c>
      <c r="C128" s="91" t="s">
        <v>357</v>
      </c>
      <c r="D128" s="93">
        <v>192</v>
      </c>
      <c r="E128" s="93">
        <v>0</v>
      </c>
      <c r="F128" s="93">
        <v>0</v>
      </c>
      <c r="G128" s="93">
        <v>192</v>
      </c>
      <c r="H128" s="93">
        <v>72</v>
      </c>
      <c r="I128" s="93">
        <v>0</v>
      </c>
      <c r="J128" s="93">
        <v>264</v>
      </c>
    </row>
    <row r="129" spans="1:10" x14ac:dyDescent="0.3">
      <c r="A129" s="91" t="s">
        <v>531</v>
      </c>
      <c r="B129" s="91" t="s">
        <v>532</v>
      </c>
      <c r="C129" s="91" t="s">
        <v>357</v>
      </c>
      <c r="D129" s="93">
        <v>72</v>
      </c>
      <c r="E129" s="93">
        <v>12</v>
      </c>
      <c r="F129" s="93">
        <v>0</v>
      </c>
      <c r="G129" s="93">
        <v>60</v>
      </c>
      <c r="H129" s="93">
        <v>1560</v>
      </c>
      <c r="I129" s="93">
        <v>0</v>
      </c>
      <c r="J129" s="93">
        <v>1620</v>
      </c>
    </row>
    <row r="130" spans="1:10" x14ac:dyDescent="0.3">
      <c r="A130" s="91" t="s">
        <v>533</v>
      </c>
      <c r="B130" s="91" t="s">
        <v>534</v>
      </c>
      <c r="C130" s="91" t="s">
        <v>357</v>
      </c>
      <c r="D130" s="93">
        <v>2328</v>
      </c>
      <c r="E130" s="93">
        <v>516</v>
      </c>
      <c r="F130" s="93">
        <v>0</v>
      </c>
      <c r="G130" s="93">
        <v>1812</v>
      </c>
      <c r="H130" s="93">
        <v>4440</v>
      </c>
      <c r="I130" s="93">
        <v>0</v>
      </c>
      <c r="J130" s="93">
        <v>6252</v>
      </c>
    </row>
    <row r="131" spans="1:10" x14ac:dyDescent="0.3">
      <c r="A131" s="91" t="s">
        <v>535</v>
      </c>
      <c r="B131" s="91" t="s">
        <v>536</v>
      </c>
      <c r="C131" s="91" t="s">
        <v>357</v>
      </c>
      <c r="D131" s="93">
        <v>10386</v>
      </c>
      <c r="E131" s="93">
        <v>1740</v>
      </c>
      <c r="F131" s="93">
        <v>0</v>
      </c>
      <c r="G131" s="93">
        <v>8646</v>
      </c>
      <c r="H131" s="93">
        <v>8736</v>
      </c>
      <c r="I131" s="93">
        <v>0</v>
      </c>
      <c r="J131" s="93">
        <v>17382</v>
      </c>
    </row>
    <row r="132" spans="1:10" x14ac:dyDescent="0.3">
      <c r="A132" s="91" t="s">
        <v>537</v>
      </c>
      <c r="B132" s="91" t="s">
        <v>538</v>
      </c>
      <c r="C132" s="91" t="s">
        <v>357</v>
      </c>
      <c r="D132" s="93">
        <v>4344</v>
      </c>
      <c r="E132" s="93">
        <v>2496</v>
      </c>
      <c r="F132" s="93">
        <v>0</v>
      </c>
      <c r="G132" s="93">
        <v>1848</v>
      </c>
      <c r="H132" s="93">
        <v>16068</v>
      </c>
      <c r="I132" s="93">
        <v>0</v>
      </c>
      <c r="J132" s="93">
        <v>17916</v>
      </c>
    </row>
    <row r="133" spans="1:10" x14ac:dyDescent="0.3">
      <c r="A133" s="91" t="s">
        <v>539</v>
      </c>
      <c r="B133" s="91" t="s">
        <v>540</v>
      </c>
      <c r="C133" s="91" t="s">
        <v>357</v>
      </c>
      <c r="D133" s="93">
        <v>558</v>
      </c>
      <c r="E133" s="93">
        <v>0</v>
      </c>
      <c r="F133" s="93">
        <v>0</v>
      </c>
      <c r="G133" s="93">
        <v>558</v>
      </c>
      <c r="H133" s="93">
        <v>0</v>
      </c>
      <c r="I133" s="93">
        <v>0</v>
      </c>
      <c r="J133" s="93">
        <v>558</v>
      </c>
    </row>
    <row r="134" spans="1:10" x14ac:dyDescent="0.3">
      <c r="A134" s="91" t="s">
        <v>38</v>
      </c>
      <c r="B134" s="91" t="s">
        <v>156</v>
      </c>
      <c r="C134" s="91" t="s">
        <v>357</v>
      </c>
      <c r="D134" s="93">
        <v>1068</v>
      </c>
      <c r="E134" s="93">
        <v>120</v>
      </c>
      <c r="F134" s="93">
        <v>0</v>
      </c>
      <c r="G134" s="93">
        <v>948</v>
      </c>
      <c r="H134" s="93">
        <v>0</v>
      </c>
      <c r="I134" s="93">
        <v>0</v>
      </c>
      <c r="J134" s="93">
        <v>948</v>
      </c>
    </row>
    <row r="135" spans="1:10" x14ac:dyDescent="0.3">
      <c r="A135" s="91" t="s">
        <v>541</v>
      </c>
      <c r="B135" s="91" t="s">
        <v>542</v>
      </c>
      <c r="C135" s="91" t="s">
        <v>357</v>
      </c>
      <c r="D135" s="93">
        <v>12222</v>
      </c>
      <c r="E135" s="93">
        <v>2658</v>
      </c>
      <c r="F135" s="93">
        <v>0</v>
      </c>
      <c r="G135" s="93">
        <v>9564</v>
      </c>
      <c r="H135" s="93">
        <v>6864</v>
      </c>
      <c r="I135" s="93">
        <v>0</v>
      </c>
      <c r="J135" s="93">
        <v>16428</v>
      </c>
    </row>
    <row r="136" spans="1:10" x14ac:dyDescent="0.3">
      <c r="A136" s="91" t="s">
        <v>543</v>
      </c>
      <c r="B136" s="91" t="s">
        <v>544</v>
      </c>
      <c r="C136" s="91" t="s">
        <v>357</v>
      </c>
      <c r="D136" s="93">
        <v>62808</v>
      </c>
      <c r="E136" s="93">
        <v>5892</v>
      </c>
      <c r="F136" s="93">
        <v>0</v>
      </c>
      <c r="G136" s="93">
        <v>56916</v>
      </c>
      <c r="H136" s="93">
        <v>83340</v>
      </c>
      <c r="I136" s="93">
        <v>0</v>
      </c>
      <c r="J136" s="93">
        <v>140256</v>
      </c>
    </row>
    <row r="137" spans="1:10" x14ac:dyDescent="0.3">
      <c r="A137" s="91" t="s">
        <v>545</v>
      </c>
      <c r="B137" s="91" t="s">
        <v>546</v>
      </c>
      <c r="C137" s="91" t="s">
        <v>357</v>
      </c>
      <c r="D137" s="93">
        <v>2988</v>
      </c>
      <c r="E137" s="93">
        <v>0</v>
      </c>
      <c r="F137" s="93">
        <v>0</v>
      </c>
      <c r="G137" s="93">
        <v>2988</v>
      </c>
      <c r="H137" s="93">
        <v>0</v>
      </c>
      <c r="I137" s="93">
        <v>0</v>
      </c>
      <c r="J137" s="93">
        <v>2988</v>
      </c>
    </row>
    <row r="138" spans="1:10" x14ac:dyDescent="0.3">
      <c r="A138" s="91" t="s">
        <v>547</v>
      </c>
      <c r="B138" s="91" t="s">
        <v>548</v>
      </c>
      <c r="C138" s="91" t="s">
        <v>357</v>
      </c>
      <c r="D138" s="93">
        <v>26196</v>
      </c>
      <c r="E138" s="93">
        <v>5616</v>
      </c>
      <c r="F138" s="93">
        <v>0</v>
      </c>
      <c r="G138" s="93">
        <v>20580</v>
      </c>
      <c r="H138" s="93">
        <v>1560</v>
      </c>
      <c r="I138" s="93">
        <v>0</v>
      </c>
      <c r="J138" s="93">
        <v>22140</v>
      </c>
    </row>
    <row r="139" spans="1:10" x14ac:dyDescent="0.3">
      <c r="A139" s="91" t="s">
        <v>549</v>
      </c>
      <c r="B139" s="91" t="s">
        <v>550</v>
      </c>
      <c r="C139" s="91" t="s">
        <v>357</v>
      </c>
      <c r="D139" s="93">
        <v>1632</v>
      </c>
      <c r="E139" s="93">
        <v>192</v>
      </c>
      <c r="F139" s="93">
        <v>0</v>
      </c>
      <c r="G139" s="93">
        <v>1440</v>
      </c>
      <c r="H139" s="93">
        <v>9804</v>
      </c>
      <c r="I139" s="93">
        <v>0</v>
      </c>
      <c r="J139" s="93">
        <v>11244</v>
      </c>
    </row>
    <row r="140" spans="1:10" x14ac:dyDescent="0.3">
      <c r="A140" s="91" t="s">
        <v>551</v>
      </c>
      <c r="B140" s="91" t="s">
        <v>552</v>
      </c>
      <c r="C140" s="91" t="s">
        <v>357</v>
      </c>
      <c r="D140" s="93">
        <v>426</v>
      </c>
      <c r="E140" s="93">
        <v>108</v>
      </c>
      <c r="F140" s="93">
        <v>0</v>
      </c>
      <c r="G140" s="93">
        <v>318</v>
      </c>
      <c r="H140" s="93">
        <v>0</v>
      </c>
      <c r="I140" s="93">
        <v>0</v>
      </c>
      <c r="J140" s="93">
        <v>318</v>
      </c>
    </row>
    <row r="141" spans="1:10" x14ac:dyDescent="0.3">
      <c r="A141" s="91" t="s">
        <v>553</v>
      </c>
      <c r="B141" s="91" t="s">
        <v>554</v>
      </c>
      <c r="C141" s="91" t="s">
        <v>357</v>
      </c>
      <c r="D141" s="93">
        <v>0</v>
      </c>
      <c r="E141" s="93">
        <v>0</v>
      </c>
      <c r="F141" s="93">
        <v>0</v>
      </c>
      <c r="G141" s="93">
        <v>0</v>
      </c>
      <c r="H141" s="93">
        <v>204</v>
      </c>
      <c r="I141" s="93">
        <v>0</v>
      </c>
      <c r="J141" s="93">
        <v>204</v>
      </c>
    </row>
    <row r="142" spans="1:10" x14ac:dyDescent="0.3">
      <c r="A142" s="91" t="s">
        <v>555</v>
      </c>
      <c r="B142" s="91" t="s">
        <v>556</v>
      </c>
      <c r="C142" s="91" t="s">
        <v>357</v>
      </c>
      <c r="D142" s="93">
        <v>612</v>
      </c>
      <c r="E142" s="93">
        <v>36</v>
      </c>
      <c r="F142" s="93">
        <v>0</v>
      </c>
      <c r="G142" s="93">
        <v>576</v>
      </c>
      <c r="H142" s="93">
        <v>0</v>
      </c>
      <c r="I142" s="93">
        <v>0</v>
      </c>
      <c r="J142" s="93">
        <v>576</v>
      </c>
    </row>
    <row r="143" spans="1:10" x14ac:dyDescent="0.3">
      <c r="A143" s="91" t="s">
        <v>557</v>
      </c>
      <c r="B143" s="91" t="s">
        <v>558</v>
      </c>
      <c r="C143" s="91" t="s">
        <v>357</v>
      </c>
      <c r="D143" s="93">
        <v>5580</v>
      </c>
      <c r="E143" s="93">
        <v>3120</v>
      </c>
      <c r="F143" s="93">
        <v>0</v>
      </c>
      <c r="G143" s="93">
        <v>2460</v>
      </c>
      <c r="H143" s="93">
        <v>63600</v>
      </c>
      <c r="I143" s="93">
        <v>0</v>
      </c>
      <c r="J143" s="93">
        <v>66060</v>
      </c>
    </row>
    <row r="144" spans="1:10" x14ac:dyDescent="0.3">
      <c r="A144" s="91" t="s">
        <v>559</v>
      </c>
      <c r="B144" s="91" t="s">
        <v>560</v>
      </c>
      <c r="C144" s="91" t="s">
        <v>357</v>
      </c>
      <c r="D144" s="93">
        <v>12</v>
      </c>
      <c r="E144" s="93">
        <v>0</v>
      </c>
      <c r="F144" s="93">
        <v>0</v>
      </c>
      <c r="G144" s="93">
        <v>12</v>
      </c>
      <c r="H144" s="93">
        <v>0</v>
      </c>
      <c r="I144" s="93">
        <v>0</v>
      </c>
      <c r="J144" s="93">
        <v>12</v>
      </c>
    </row>
    <row r="145" spans="1:10" x14ac:dyDescent="0.3">
      <c r="A145" s="91" t="s">
        <v>561</v>
      </c>
      <c r="B145" s="91" t="s">
        <v>562</v>
      </c>
      <c r="C145" s="91" t="s">
        <v>357</v>
      </c>
      <c r="D145" s="93">
        <v>924</v>
      </c>
      <c r="E145" s="93">
        <v>276</v>
      </c>
      <c r="F145" s="93">
        <v>0</v>
      </c>
      <c r="G145" s="93">
        <v>648</v>
      </c>
      <c r="H145" s="93">
        <v>1428</v>
      </c>
      <c r="I145" s="93">
        <v>0</v>
      </c>
      <c r="J145" s="93">
        <v>2076</v>
      </c>
    </row>
    <row r="146" spans="1:10" x14ac:dyDescent="0.3">
      <c r="A146" s="91" t="s">
        <v>563</v>
      </c>
      <c r="B146" s="91" t="s">
        <v>564</v>
      </c>
      <c r="C146" s="91" t="s">
        <v>357</v>
      </c>
      <c r="D146" s="93">
        <v>612</v>
      </c>
      <c r="E146" s="93">
        <v>504</v>
      </c>
      <c r="F146" s="93">
        <v>0</v>
      </c>
      <c r="G146" s="93">
        <v>108</v>
      </c>
      <c r="H146" s="93">
        <v>480</v>
      </c>
      <c r="I146" s="93">
        <v>0</v>
      </c>
      <c r="J146" s="93">
        <v>588</v>
      </c>
    </row>
    <row r="147" spans="1:10" x14ac:dyDescent="0.3">
      <c r="A147" s="91" t="s">
        <v>565</v>
      </c>
      <c r="B147" s="91" t="s">
        <v>566</v>
      </c>
      <c r="C147" s="91" t="s">
        <v>357</v>
      </c>
      <c r="D147" s="93">
        <v>27072</v>
      </c>
      <c r="E147" s="93">
        <v>6168</v>
      </c>
      <c r="F147" s="93">
        <v>0</v>
      </c>
      <c r="G147" s="93">
        <v>20904</v>
      </c>
      <c r="H147" s="93">
        <v>0</v>
      </c>
      <c r="I147" s="93">
        <v>0</v>
      </c>
      <c r="J147" s="93">
        <v>20904</v>
      </c>
    </row>
    <row r="148" spans="1:10" x14ac:dyDescent="0.3">
      <c r="A148" s="91" t="s">
        <v>39</v>
      </c>
      <c r="B148" s="91" t="s">
        <v>157</v>
      </c>
      <c r="C148" s="91" t="s">
        <v>357</v>
      </c>
      <c r="D148" s="93">
        <v>1800</v>
      </c>
      <c r="E148" s="93">
        <v>0</v>
      </c>
      <c r="F148" s="93">
        <v>0</v>
      </c>
      <c r="G148" s="93">
        <v>1800</v>
      </c>
      <c r="H148" s="93">
        <v>0</v>
      </c>
      <c r="I148" s="93">
        <v>0</v>
      </c>
      <c r="J148" s="93">
        <v>1800</v>
      </c>
    </row>
    <row r="149" spans="1:10" x14ac:dyDescent="0.3">
      <c r="A149" s="91" t="s">
        <v>567</v>
      </c>
      <c r="B149" s="91" t="s">
        <v>568</v>
      </c>
      <c r="C149" s="91" t="s">
        <v>357</v>
      </c>
      <c r="D149" s="93">
        <v>2172</v>
      </c>
      <c r="E149" s="93">
        <v>144</v>
      </c>
      <c r="F149" s="93">
        <v>0</v>
      </c>
      <c r="G149" s="93">
        <v>2028</v>
      </c>
      <c r="H149" s="93">
        <v>96</v>
      </c>
      <c r="I149" s="93">
        <v>0</v>
      </c>
      <c r="J149" s="93">
        <v>2124</v>
      </c>
    </row>
    <row r="150" spans="1:10" x14ac:dyDescent="0.3">
      <c r="A150" s="91" t="s">
        <v>569</v>
      </c>
      <c r="B150" s="91" t="s">
        <v>570</v>
      </c>
      <c r="C150" s="91" t="s">
        <v>357</v>
      </c>
      <c r="D150" s="93">
        <v>1000</v>
      </c>
      <c r="E150" s="93">
        <v>100</v>
      </c>
      <c r="F150" s="93">
        <v>0</v>
      </c>
      <c r="G150" s="93">
        <v>900</v>
      </c>
      <c r="H150" s="93">
        <v>1600</v>
      </c>
      <c r="I150" s="93">
        <v>0</v>
      </c>
      <c r="J150" s="93">
        <v>2500</v>
      </c>
    </row>
    <row r="151" spans="1:10" x14ac:dyDescent="0.3">
      <c r="A151" s="91" t="s">
        <v>571</v>
      </c>
      <c r="B151" s="91" t="s">
        <v>572</v>
      </c>
      <c r="C151" s="91" t="s">
        <v>357</v>
      </c>
      <c r="D151" s="93">
        <v>0</v>
      </c>
      <c r="E151" s="93">
        <v>24</v>
      </c>
      <c r="F151" s="93">
        <v>0</v>
      </c>
      <c r="G151" s="93">
        <v>-24</v>
      </c>
      <c r="H151" s="93">
        <v>0</v>
      </c>
      <c r="I151" s="93">
        <v>0</v>
      </c>
      <c r="J151" s="93">
        <v>-24</v>
      </c>
    </row>
    <row r="152" spans="1:10" x14ac:dyDescent="0.3">
      <c r="A152" s="91" t="s">
        <v>573</v>
      </c>
      <c r="B152" s="91" t="s">
        <v>574</v>
      </c>
      <c r="C152" s="91" t="s">
        <v>357</v>
      </c>
      <c r="D152" s="93">
        <v>804</v>
      </c>
      <c r="E152" s="93">
        <v>60</v>
      </c>
      <c r="F152" s="93">
        <v>0</v>
      </c>
      <c r="G152" s="93">
        <v>744</v>
      </c>
      <c r="H152" s="93">
        <v>0</v>
      </c>
      <c r="I152" s="93">
        <v>0</v>
      </c>
      <c r="J152" s="93">
        <v>744</v>
      </c>
    </row>
    <row r="153" spans="1:10" x14ac:dyDescent="0.3">
      <c r="A153" s="91" t="s">
        <v>575</v>
      </c>
      <c r="B153" s="91" t="s">
        <v>576</v>
      </c>
      <c r="C153" s="91" t="s">
        <v>357</v>
      </c>
      <c r="D153" s="93">
        <v>420</v>
      </c>
      <c r="E153" s="93">
        <v>72</v>
      </c>
      <c r="F153" s="93">
        <v>0</v>
      </c>
      <c r="G153" s="93">
        <v>348</v>
      </c>
      <c r="H153" s="93">
        <v>180</v>
      </c>
      <c r="I153" s="93">
        <v>0</v>
      </c>
      <c r="J153" s="93">
        <v>528</v>
      </c>
    </row>
    <row r="154" spans="1:10" x14ac:dyDescent="0.3">
      <c r="A154" s="91" t="s">
        <v>577</v>
      </c>
      <c r="B154" s="91" t="s">
        <v>578</v>
      </c>
      <c r="C154" s="91" t="s">
        <v>357</v>
      </c>
      <c r="D154" s="93">
        <v>7236</v>
      </c>
      <c r="E154" s="93">
        <v>216</v>
      </c>
      <c r="F154" s="93">
        <v>0</v>
      </c>
      <c r="G154" s="93">
        <v>7020</v>
      </c>
      <c r="H154" s="93">
        <v>1836</v>
      </c>
      <c r="I154" s="93">
        <v>0</v>
      </c>
      <c r="J154" s="93">
        <v>8856</v>
      </c>
    </row>
    <row r="155" spans="1:10" x14ac:dyDescent="0.3">
      <c r="A155" s="91" t="s">
        <v>579</v>
      </c>
      <c r="B155" s="91" t="s">
        <v>580</v>
      </c>
      <c r="C155" s="91" t="s">
        <v>357</v>
      </c>
      <c r="D155" s="93">
        <v>4068</v>
      </c>
      <c r="E155" s="93">
        <v>624</v>
      </c>
      <c r="F155" s="93">
        <v>0</v>
      </c>
      <c r="G155" s="93">
        <v>3444</v>
      </c>
      <c r="H155" s="93">
        <v>228</v>
      </c>
      <c r="I155" s="93">
        <v>0</v>
      </c>
      <c r="J155" s="93">
        <v>3672</v>
      </c>
    </row>
    <row r="156" spans="1:10" x14ac:dyDescent="0.3">
      <c r="A156" s="91" t="s">
        <v>40</v>
      </c>
      <c r="B156" s="91" t="s">
        <v>581</v>
      </c>
      <c r="C156" s="91" t="s">
        <v>357</v>
      </c>
      <c r="D156" s="93">
        <v>2304</v>
      </c>
      <c r="E156" s="93">
        <v>36</v>
      </c>
      <c r="F156" s="93">
        <v>0</v>
      </c>
      <c r="G156" s="93">
        <v>2268</v>
      </c>
      <c r="H156" s="93">
        <v>0</v>
      </c>
      <c r="I156" s="93">
        <v>0</v>
      </c>
      <c r="J156" s="93">
        <v>2268</v>
      </c>
    </row>
    <row r="157" spans="1:10" x14ac:dyDescent="0.3">
      <c r="A157" s="91" t="s">
        <v>582</v>
      </c>
      <c r="B157" s="91" t="s">
        <v>583</v>
      </c>
      <c r="C157" s="91" t="s">
        <v>357</v>
      </c>
      <c r="D157" s="93">
        <v>4272</v>
      </c>
      <c r="E157" s="93">
        <v>624</v>
      </c>
      <c r="F157" s="93">
        <v>0</v>
      </c>
      <c r="G157" s="93">
        <v>3648</v>
      </c>
      <c r="H157" s="93">
        <v>2400</v>
      </c>
      <c r="I157" s="93">
        <v>0</v>
      </c>
      <c r="J157" s="93">
        <v>6048</v>
      </c>
    </row>
    <row r="158" spans="1:10" x14ac:dyDescent="0.3">
      <c r="A158" s="91" t="s">
        <v>584</v>
      </c>
      <c r="B158" s="91" t="s">
        <v>585</v>
      </c>
      <c r="C158" s="91" t="s">
        <v>357</v>
      </c>
      <c r="D158" s="93">
        <v>288</v>
      </c>
      <c r="E158" s="93">
        <v>0</v>
      </c>
      <c r="F158" s="93">
        <v>0</v>
      </c>
      <c r="G158" s="93">
        <v>288</v>
      </c>
      <c r="H158" s="93">
        <v>0</v>
      </c>
      <c r="I158" s="93">
        <v>0</v>
      </c>
      <c r="J158" s="93">
        <v>288</v>
      </c>
    </row>
    <row r="159" spans="1:10" x14ac:dyDescent="0.3">
      <c r="A159" s="91" t="s">
        <v>586</v>
      </c>
      <c r="B159" s="91" t="s">
        <v>587</v>
      </c>
      <c r="C159" s="91" t="s">
        <v>357</v>
      </c>
      <c r="D159" s="93">
        <v>24</v>
      </c>
      <c r="E159" s="93">
        <v>0</v>
      </c>
      <c r="F159" s="93">
        <v>0</v>
      </c>
      <c r="G159" s="93">
        <v>24</v>
      </c>
      <c r="H159" s="93">
        <v>0</v>
      </c>
      <c r="I159" s="93">
        <v>0</v>
      </c>
      <c r="J159" s="93">
        <v>24</v>
      </c>
    </row>
    <row r="160" spans="1:10" x14ac:dyDescent="0.3">
      <c r="A160" s="91" t="s">
        <v>41</v>
      </c>
      <c r="B160" s="91" t="s">
        <v>158</v>
      </c>
      <c r="C160" s="91" t="s">
        <v>357</v>
      </c>
      <c r="D160" s="93">
        <v>2136</v>
      </c>
      <c r="E160" s="93">
        <v>456</v>
      </c>
      <c r="F160" s="93">
        <v>0</v>
      </c>
      <c r="G160" s="93">
        <v>1680</v>
      </c>
      <c r="H160" s="93">
        <v>0</v>
      </c>
      <c r="I160" s="93">
        <v>0</v>
      </c>
      <c r="J160" s="93">
        <v>1680</v>
      </c>
    </row>
    <row r="161" spans="1:10" x14ac:dyDescent="0.3">
      <c r="A161" s="91" t="s">
        <v>588</v>
      </c>
      <c r="B161" s="91" t="s">
        <v>589</v>
      </c>
      <c r="C161" s="91" t="s">
        <v>357</v>
      </c>
      <c r="D161" s="93">
        <v>0</v>
      </c>
      <c r="E161" s="93">
        <v>0</v>
      </c>
      <c r="F161" s="93">
        <v>0</v>
      </c>
      <c r="G161" s="93">
        <v>0</v>
      </c>
      <c r="H161" s="93">
        <v>600</v>
      </c>
      <c r="I161" s="93">
        <v>0</v>
      </c>
      <c r="J161" s="93">
        <v>600</v>
      </c>
    </row>
    <row r="162" spans="1:10" x14ac:dyDescent="0.3">
      <c r="A162" s="91" t="s">
        <v>42</v>
      </c>
      <c r="B162" s="91" t="s">
        <v>159</v>
      </c>
      <c r="C162" s="91" t="s">
        <v>357</v>
      </c>
      <c r="D162" s="93">
        <v>3648</v>
      </c>
      <c r="E162" s="93">
        <v>924</v>
      </c>
      <c r="F162" s="93">
        <v>0</v>
      </c>
      <c r="G162" s="93">
        <v>2724</v>
      </c>
      <c r="H162" s="93">
        <v>0</v>
      </c>
      <c r="I162" s="93">
        <v>0</v>
      </c>
      <c r="J162" s="93">
        <v>2724</v>
      </c>
    </row>
    <row r="163" spans="1:10" x14ac:dyDescent="0.3">
      <c r="A163" s="91" t="s">
        <v>590</v>
      </c>
      <c r="B163" s="91" t="s">
        <v>591</v>
      </c>
      <c r="C163" s="91" t="s">
        <v>357</v>
      </c>
      <c r="D163" s="93">
        <v>4908</v>
      </c>
      <c r="E163" s="93">
        <v>192</v>
      </c>
      <c r="F163" s="93">
        <v>0</v>
      </c>
      <c r="G163" s="93">
        <v>4716</v>
      </c>
      <c r="H163" s="93">
        <v>1752</v>
      </c>
      <c r="I163" s="93">
        <v>0</v>
      </c>
      <c r="J163" s="93">
        <v>6468</v>
      </c>
    </row>
    <row r="164" spans="1:10" x14ac:dyDescent="0.3">
      <c r="A164" s="91" t="s">
        <v>592</v>
      </c>
      <c r="B164" s="91" t="s">
        <v>593</v>
      </c>
      <c r="C164" s="91" t="s">
        <v>357</v>
      </c>
      <c r="D164" s="93">
        <v>1824</v>
      </c>
      <c r="E164" s="93">
        <v>156</v>
      </c>
      <c r="F164" s="93">
        <v>0</v>
      </c>
      <c r="G164" s="93">
        <v>1668</v>
      </c>
      <c r="H164" s="93">
        <v>288</v>
      </c>
      <c r="I164" s="93">
        <v>0</v>
      </c>
      <c r="J164" s="93">
        <v>1956</v>
      </c>
    </row>
    <row r="165" spans="1:10" x14ac:dyDescent="0.3">
      <c r="A165" s="91" t="s">
        <v>594</v>
      </c>
      <c r="B165" s="91" t="s">
        <v>595</v>
      </c>
      <c r="C165" s="91" t="s">
        <v>357</v>
      </c>
      <c r="D165" s="93">
        <v>600</v>
      </c>
      <c r="E165" s="93">
        <v>72</v>
      </c>
      <c r="F165" s="93">
        <v>0</v>
      </c>
      <c r="G165" s="93">
        <v>528</v>
      </c>
      <c r="H165" s="93">
        <v>360</v>
      </c>
      <c r="I165" s="93">
        <v>0</v>
      </c>
      <c r="J165" s="93">
        <v>888</v>
      </c>
    </row>
    <row r="166" spans="1:10" x14ac:dyDescent="0.3">
      <c r="A166" s="91" t="s">
        <v>596</v>
      </c>
      <c r="B166" s="91" t="s">
        <v>597</v>
      </c>
      <c r="C166" s="91" t="s">
        <v>357</v>
      </c>
      <c r="D166" s="93">
        <v>804</v>
      </c>
      <c r="E166" s="93">
        <v>24</v>
      </c>
      <c r="F166" s="93">
        <v>0</v>
      </c>
      <c r="G166" s="93">
        <v>780</v>
      </c>
      <c r="H166" s="93">
        <v>0</v>
      </c>
      <c r="I166" s="93">
        <v>0</v>
      </c>
      <c r="J166" s="93">
        <v>780</v>
      </c>
    </row>
    <row r="167" spans="1:10" x14ac:dyDescent="0.3">
      <c r="A167" s="91" t="s">
        <v>598</v>
      </c>
      <c r="B167" s="91" t="s">
        <v>599</v>
      </c>
      <c r="C167" s="91" t="s">
        <v>357</v>
      </c>
      <c r="D167" s="93">
        <v>1056</v>
      </c>
      <c r="E167" s="93">
        <v>144</v>
      </c>
      <c r="F167" s="93">
        <v>0</v>
      </c>
      <c r="G167" s="93">
        <v>912</v>
      </c>
      <c r="H167" s="93">
        <v>984</v>
      </c>
      <c r="I167" s="93">
        <v>0</v>
      </c>
      <c r="J167" s="93">
        <v>1896</v>
      </c>
    </row>
    <row r="168" spans="1:10" x14ac:dyDescent="0.3">
      <c r="A168" s="91" t="s">
        <v>43</v>
      </c>
      <c r="B168" s="91" t="s">
        <v>160</v>
      </c>
      <c r="C168" s="91" t="s">
        <v>357</v>
      </c>
      <c r="D168" s="93">
        <v>3720</v>
      </c>
      <c r="E168" s="93">
        <v>576</v>
      </c>
      <c r="F168" s="93">
        <v>0</v>
      </c>
      <c r="G168" s="93">
        <v>3144</v>
      </c>
      <c r="H168" s="93">
        <v>0</v>
      </c>
      <c r="I168" s="93">
        <v>0</v>
      </c>
      <c r="J168" s="93">
        <v>3144</v>
      </c>
    </row>
    <row r="169" spans="1:10" x14ac:dyDescent="0.3">
      <c r="A169" s="91" t="s">
        <v>44</v>
      </c>
      <c r="B169" s="91" t="s">
        <v>161</v>
      </c>
      <c r="C169" s="91" t="s">
        <v>357</v>
      </c>
      <c r="D169" s="93">
        <v>4644</v>
      </c>
      <c r="E169" s="93">
        <v>144</v>
      </c>
      <c r="F169" s="93">
        <v>0</v>
      </c>
      <c r="G169" s="93">
        <v>4500</v>
      </c>
      <c r="H169" s="93">
        <v>0</v>
      </c>
      <c r="I169" s="93">
        <v>0</v>
      </c>
      <c r="J169" s="93">
        <v>4500</v>
      </c>
    </row>
    <row r="170" spans="1:10" x14ac:dyDescent="0.3">
      <c r="A170" s="91" t="s">
        <v>45</v>
      </c>
      <c r="B170" s="91" t="s">
        <v>162</v>
      </c>
      <c r="C170" s="91" t="s">
        <v>357</v>
      </c>
      <c r="D170" s="93">
        <v>4224</v>
      </c>
      <c r="E170" s="93">
        <v>168</v>
      </c>
      <c r="F170" s="93">
        <v>0</v>
      </c>
      <c r="G170" s="93">
        <v>4056</v>
      </c>
      <c r="H170" s="93">
        <v>0</v>
      </c>
      <c r="I170" s="93">
        <v>0</v>
      </c>
      <c r="J170" s="93">
        <v>4056</v>
      </c>
    </row>
    <row r="171" spans="1:10" x14ac:dyDescent="0.3">
      <c r="A171" s="91" t="s">
        <v>46</v>
      </c>
      <c r="B171" s="91" t="s">
        <v>163</v>
      </c>
      <c r="C171" s="91" t="s">
        <v>357</v>
      </c>
      <c r="D171" s="93">
        <v>3468</v>
      </c>
      <c r="E171" s="93">
        <v>180</v>
      </c>
      <c r="F171" s="93">
        <v>0</v>
      </c>
      <c r="G171" s="93">
        <v>3288</v>
      </c>
      <c r="H171" s="93">
        <v>0</v>
      </c>
      <c r="I171" s="93">
        <v>0</v>
      </c>
      <c r="J171" s="93">
        <v>3288</v>
      </c>
    </row>
    <row r="172" spans="1:10" x14ac:dyDescent="0.3">
      <c r="A172" s="91" t="s">
        <v>47</v>
      </c>
      <c r="B172" s="91" t="s">
        <v>164</v>
      </c>
      <c r="C172" s="91" t="s">
        <v>357</v>
      </c>
      <c r="D172" s="93">
        <v>2964</v>
      </c>
      <c r="E172" s="93">
        <v>12</v>
      </c>
      <c r="F172" s="93">
        <v>0</v>
      </c>
      <c r="G172" s="93">
        <v>2952</v>
      </c>
      <c r="H172" s="93">
        <v>0</v>
      </c>
      <c r="I172" s="93">
        <v>0</v>
      </c>
      <c r="J172" s="93">
        <v>2952</v>
      </c>
    </row>
    <row r="173" spans="1:10" x14ac:dyDescent="0.3">
      <c r="A173" s="91" t="s">
        <v>600</v>
      </c>
      <c r="B173" s="91" t="s">
        <v>601</v>
      </c>
      <c r="C173" s="91" t="s">
        <v>357</v>
      </c>
      <c r="D173" s="93">
        <v>12</v>
      </c>
      <c r="E173" s="93">
        <v>72</v>
      </c>
      <c r="F173" s="93">
        <v>0</v>
      </c>
      <c r="G173" s="93">
        <v>-60</v>
      </c>
      <c r="H173" s="93">
        <v>288</v>
      </c>
      <c r="I173" s="93">
        <v>0</v>
      </c>
      <c r="J173" s="93">
        <v>228</v>
      </c>
    </row>
    <row r="174" spans="1:10" x14ac:dyDescent="0.3">
      <c r="A174" s="91" t="s">
        <v>602</v>
      </c>
      <c r="B174" s="91" t="s">
        <v>603</v>
      </c>
      <c r="C174" s="91" t="s">
        <v>357</v>
      </c>
      <c r="D174" s="93">
        <v>876</v>
      </c>
      <c r="E174" s="93">
        <v>84</v>
      </c>
      <c r="F174" s="93">
        <v>0</v>
      </c>
      <c r="G174" s="93">
        <v>792</v>
      </c>
      <c r="H174" s="93">
        <v>456</v>
      </c>
      <c r="I174" s="93">
        <v>0</v>
      </c>
      <c r="J174" s="93">
        <v>1248</v>
      </c>
    </row>
    <row r="175" spans="1:10" x14ac:dyDescent="0.3">
      <c r="A175" s="91" t="s">
        <v>604</v>
      </c>
      <c r="B175" s="91" t="s">
        <v>605</v>
      </c>
      <c r="C175" s="91" t="s">
        <v>357</v>
      </c>
      <c r="D175" s="93">
        <v>1104</v>
      </c>
      <c r="E175" s="93">
        <v>2208</v>
      </c>
      <c r="F175" s="93">
        <v>0</v>
      </c>
      <c r="G175" s="93">
        <v>-1104</v>
      </c>
      <c r="H175" s="93">
        <v>3636</v>
      </c>
      <c r="I175" s="93">
        <v>0</v>
      </c>
      <c r="J175" s="93">
        <v>2532</v>
      </c>
    </row>
    <row r="176" spans="1:10" x14ac:dyDescent="0.3">
      <c r="A176" s="91" t="s">
        <v>606</v>
      </c>
      <c r="B176" s="91" t="s">
        <v>607</v>
      </c>
      <c r="C176" s="91" t="s">
        <v>357</v>
      </c>
      <c r="D176" s="93">
        <v>2652</v>
      </c>
      <c r="E176" s="93">
        <v>3888</v>
      </c>
      <c r="F176" s="93">
        <v>0</v>
      </c>
      <c r="G176" s="93">
        <v>-1236</v>
      </c>
      <c r="H176" s="93">
        <v>5340</v>
      </c>
      <c r="I176" s="93">
        <v>0</v>
      </c>
      <c r="J176" s="93">
        <v>4104</v>
      </c>
    </row>
    <row r="177" spans="1:10" x14ac:dyDescent="0.3">
      <c r="A177" s="91" t="s">
        <v>608</v>
      </c>
      <c r="B177" s="91" t="s">
        <v>609</v>
      </c>
      <c r="C177" s="91" t="s">
        <v>357</v>
      </c>
      <c r="D177" s="93">
        <v>72</v>
      </c>
      <c r="E177" s="93">
        <v>0</v>
      </c>
      <c r="F177" s="93">
        <v>0</v>
      </c>
      <c r="G177" s="93">
        <v>72</v>
      </c>
      <c r="H177" s="93">
        <v>0</v>
      </c>
      <c r="I177" s="93">
        <v>0</v>
      </c>
      <c r="J177" s="93">
        <v>72</v>
      </c>
    </row>
    <row r="178" spans="1:10" x14ac:dyDescent="0.3">
      <c r="A178" s="91" t="s">
        <v>610</v>
      </c>
      <c r="B178" s="91" t="s">
        <v>611</v>
      </c>
      <c r="C178" s="91" t="s">
        <v>357</v>
      </c>
      <c r="D178" s="93">
        <v>432</v>
      </c>
      <c r="E178" s="93">
        <v>1188</v>
      </c>
      <c r="F178" s="93">
        <v>0</v>
      </c>
      <c r="G178" s="93">
        <v>-756</v>
      </c>
      <c r="H178" s="93">
        <v>0</v>
      </c>
      <c r="I178" s="93">
        <v>0</v>
      </c>
      <c r="J178" s="93">
        <v>-756</v>
      </c>
    </row>
    <row r="179" spans="1:10" x14ac:dyDescent="0.3">
      <c r="A179" s="91" t="s">
        <v>612</v>
      </c>
      <c r="B179" s="91" t="s">
        <v>613</v>
      </c>
      <c r="C179" s="91" t="s">
        <v>357</v>
      </c>
      <c r="D179" s="93">
        <v>1368</v>
      </c>
      <c r="E179" s="93">
        <v>156</v>
      </c>
      <c r="F179" s="93">
        <v>0</v>
      </c>
      <c r="G179" s="93">
        <v>1212</v>
      </c>
      <c r="H179" s="93">
        <v>0</v>
      </c>
      <c r="I179" s="93">
        <v>0</v>
      </c>
      <c r="J179" s="93">
        <v>1212</v>
      </c>
    </row>
    <row r="180" spans="1:10" x14ac:dyDescent="0.3">
      <c r="A180" s="91" t="s">
        <v>614</v>
      </c>
      <c r="B180" s="91" t="s">
        <v>615</v>
      </c>
      <c r="C180" s="91" t="s">
        <v>357</v>
      </c>
      <c r="D180" s="93">
        <v>0</v>
      </c>
      <c r="E180" s="93">
        <v>7000</v>
      </c>
      <c r="F180" s="93">
        <v>0</v>
      </c>
      <c r="G180" s="93">
        <v>-7000</v>
      </c>
      <c r="H180" s="93">
        <v>0</v>
      </c>
      <c r="I180" s="93">
        <v>0</v>
      </c>
      <c r="J180" s="93">
        <v>-7000</v>
      </c>
    </row>
    <row r="181" spans="1:10" x14ac:dyDescent="0.3">
      <c r="A181" s="91" t="s">
        <v>616</v>
      </c>
      <c r="B181" s="91" t="s">
        <v>617</v>
      </c>
      <c r="C181" s="91" t="s">
        <v>357</v>
      </c>
      <c r="D181" s="93">
        <v>0</v>
      </c>
      <c r="E181" s="93">
        <v>3000</v>
      </c>
      <c r="F181" s="93">
        <v>0</v>
      </c>
      <c r="G181" s="93">
        <v>-3000</v>
      </c>
      <c r="H181" s="93">
        <v>0</v>
      </c>
      <c r="I181" s="93">
        <v>0</v>
      </c>
      <c r="J181" s="93">
        <v>-3000</v>
      </c>
    </row>
    <row r="182" spans="1:10" x14ac:dyDescent="0.3">
      <c r="A182" s="91" t="s">
        <v>618</v>
      </c>
      <c r="B182" s="91" t="s">
        <v>619</v>
      </c>
      <c r="C182" s="91" t="s">
        <v>357</v>
      </c>
      <c r="D182" s="93">
        <v>480</v>
      </c>
      <c r="E182" s="93">
        <v>0</v>
      </c>
      <c r="F182" s="93">
        <v>0</v>
      </c>
      <c r="G182" s="93">
        <v>480</v>
      </c>
      <c r="H182" s="93">
        <v>0</v>
      </c>
      <c r="I182" s="93">
        <v>0</v>
      </c>
      <c r="J182" s="93">
        <v>480</v>
      </c>
    </row>
    <row r="183" spans="1:10" x14ac:dyDescent="0.3">
      <c r="A183" s="91" t="s">
        <v>620</v>
      </c>
      <c r="B183" s="91" t="s">
        <v>621</v>
      </c>
      <c r="C183" s="91" t="s">
        <v>357</v>
      </c>
      <c r="D183" s="93">
        <v>3636</v>
      </c>
      <c r="E183" s="93">
        <v>864</v>
      </c>
      <c r="F183" s="93">
        <v>0</v>
      </c>
      <c r="G183" s="93">
        <v>2772</v>
      </c>
      <c r="H183" s="93">
        <v>252</v>
      </c>
      <c r="I183" s="93">
        <v>0</v>
      </c>
      <c r="J183" s="93">
        <v>3024</v>
      </c>
    </row>
    <row r="184" spans="1:10" x14ac:dyDescent="0.3">
      <c r="A184" s="91" t="s">
        <v>622</v>
      </c>
      <c r="B184" s="91" t="s">
        <v>623</v>
      </c>
      <c r="C184" s="91" t="s">
        <v>357</v>
      </c>
      <c r="D184" s="93">
        <v>0</v>
      </c>
      <c r="E184" s="93">
        <v>96</v>
      </c>
      <c r="F184" s="93">
        <v>0</v>
      </c>
      <c r="G184" s="93">
        <v>-96</v>
      </c>
      <c r="H184" s="93">
        <v>0</v>
      </c>
      <c r="I184" s="93">
        <v>0</v>
      </c>
      <c r="J184" s="93">
        <v>-96</v>
      </c>
    </row>
    <row r="185" spans="1:10" x14ac:dyDescent="0.3">
      <c r="A185" s="91" t="s">
        <v>624</v>
      </c>
      <c r="B185" s="91" t="s">
        <v>625</v>
      </c>
      <c r="C185" s="91" t="s">
        <v>357</v>
      </c>
      <c r="D185" s="93">
        <v>2832</v>
      </c>
      <c r="E185" s="93">
        <v>192</v>
      </c>
      <c r="F185" s="93">
        <v>0</v>
      </c>
      <c r="G185" s="93">
        <v>2640</v>
      </c>
      <c r="H185" s="93">
        <v>0</v>
      </c>
      <c r="I185" s="93">
        <v>0</v>
      </c>
      <c r="J185" s="93">
        <v>2640</v>
      </c>
    </row>
    <row r="186" spans="1:10" x14ac:dyDescent="0.3">
      <c r="A186" s="91" t="s">
        <v>626</v>
      </c>
      <c r="B186" s="91" t="s">
        <v>627</v>
      </c>
      <c r="C186" s="91" t="s">
        <v>357</v>
      </c>
      <c r="D186" s="93">
        <v>0</v>
      </c>
      <c r="E186" s="93">
        <v>1392</v>
      </c>
      <c r="F186" s="93">
        <v>0</v>
      </c>
      <c r="G186" s="93">
        <v>-1392</v>
      </c>
      <c r="H186" s="93">
        <v>840</v>
      </c>
      <c r="I186" s="93">
        <v>0</v>
      </c>
      <c r="J186" s="93">
        <v>-552</v>
      </c>
    </row>
    <row r="187" spans="1:10" x14ac:dyDescent="0.3">
      <c r="A187" s="91" t="s">
        <v>628</v>
      </c>
      <c r="B187" s="91" t="s">
        <v>629</v>
      </c>
      <c r="C187" s="91" t="s">
        <v>357</v>
      </c>
      <c r="D187" s="93">
        <v>1884</v>
      </c>
      <c r="E187" s="93">
        <v>252</v>
      </c>
      <c r="F187" s="93">
        <v>0</v>
      </c>
      <c r="G187" s="93">
        <v>1632</v>
      </c>
      <c r="H187" s="93">
        <v>240</v>
      </c>
      <c r="I187" s="93">
        <v>0</v>
      </c>
      <c r="J187" s="93">
        <v>1872</v>
      </c>
    </row>
    <row r="188" spans="1:10" x14ac:dyDescent="0.3">
      <c r="A188" s="91" t="s">
        <v>630</v>
      </c>
      <c r="B188" s="91" t="s">
        <v>631</v>
      </c>
      <c r="C188" s="91" t="s">
        <v>357</v>
      </c>
      <c r="D188" s="93">
        <v>972</v>
      </c>
      <c r="E188" s="93">
        <v>132</v>
      </c>
      <c r="F188" s="93">
        <v>0</v>
      </c>
      <c r="G188" s="93">
        <v>840</v>
      </c>
      <c r="H188" s="93">
        <v>1464</v>
      </c>
      <c r="I188" s="93">
        <v>0</v>
      </c>
      <c r="J188" s="93">
        <v>2304</v>
      </c>
    </row>
    <row r="189" spans="1:10" x14ac:dyDescent="0.3">
      <c r="A189" s="91" t="s">
        <v>632</v>
      </c>
      <c r="B189" s="91" t="s">
        <v>633</v>
      </c>
      <c r="C189" s="91" t="s">
        <v>357</v>
      </c>
      <c r="D189" s="93">
        <v>600</v>
      </c>
      <c r="E189" s="93">
        <v>132</v>
      </c>
      <c r="F189" s="93">
        <v>0</v>
      </c>
      <c r="G189" s="93">
        <v>468</v>
      </c>
      <c r="H189" s="93">
        <v>1320</v>
      </c>
      <c r="I189" s="93">
        <v>0</v>
      </c>
      <c r="J189" s="93">
        <v>1788</v>
      </c>
    </row>
    <row r="190" spans="1:10" x14ac:dyDescent="0.3">
      <c r="A190" s="91" t="s">
        <v>634</v>
      </c>
      <c r="B190" s="91" t="s">
        <v>635</v>
      </c>
      <c r="C190" s="91" t="s">
        <v>357</v>
      </c>
      <c r="D190" s="93">
        <v>1812</v>
      </c>
      <c r="E190" s="93">
        <v>780</v>
      </c>
      <c r="F190" s="93">
        <v>0</v>
      </c>
      <c r="G190" s="93">
        <v>1032</v>
      </c>
      <c r="H190" s="93">
        <v>0</v>
      </c>
      <c r="I190" s="93">
        <v>0</v>
      </c>
      <c r="J190" s="93">
        <v>1032</v>
      </c>
    </row>
    <row r="191" spans="1:10" x14ac:dyDescent="0.3">
      <c r="A191" s="91" t="s">
        <v>636</v>
      </c>
      <c r="B191" s="91" t="s">
        <v>637</v>
      </c>
      <c r="C191" s="91" t="s">
        <v>357</v>
      </c>
      <c r="D191" s="93">
        <v>12</v>
      </c>
      <c r="E191" s="93">
        <v>0</v>
      </c>
      <c r="F191" s="93">
        <v>0</v>
      </c>
      <c r="G191" s="93">
        <v>12</v>
      </c>
      <c r="H191" s="93">
        <v>0</v>
      </c>
      <c r="I191" s="93">
        <v>0</v>
      </c>
      <c r="J191" s="93">
        <v>12</v>
      </c>
    </row>
    <row r="192" spans="1:10" x14ac:dyDescent="0.3">
      <c r="A192" s="91" t="s">
        <v>638</v>
      </c>
      <c r="B192" s="91" t="s">
        <v>639</v>
      </c>
      <c r="C192" s="91" t="s">
        <v>357</v>
      </c>
      <c r="D192" s="93">
        <v>840</v>
      </c>
      <c r="E192" s="93">
        <v>216</v>
      </c>
      <c r="F192" s="93">
        <v>0</v>
      </c>
      <c r="G192" s="93">
        <v>624</v>
      </c>
      <c r="H192" s="93">
        <v>72</v>
      </c>
      <c r="I192" s="93">
        <v>0</v>
      </c>
      <c r="J192" s="93">
        <v>696</v>
      </c>
    </row>
    <row r="193" spans="1:10" x14ac:dyDescent="0.3">
      <c r="A193" s="91" t="s">
        <v>640</v>
      </c>
      <c r="B193" s="91" t="s">
        <v>641</v>
      </c>
      <c r="C193" s="91" t="s">
        <v>357</v>
      </c>
      <c r="D193" s="93">
        <v>648</v>
      </c>
      <c r="E193" s="93">
        <v>180</v>
      </c>
      <c r="F193" s="93">
        <v>0</v>
      </c>
      <c r="G193" s="93">
        <v>468</v>
      </c>
      <c r="H193" s="93">
        <v>0</v>
      </c>
      <c r="I193" s="93">
        <v>0</v>
      </c>
      <c r="J193" s="93">
        <v>468</v>
      </c>
    </row>
    <row r="194" spans="1:10" x14ac:dyDescent="0.3">
      <c r="A194" s="91" t="s">
        <v>48</v>
      </c>
      <c r="B194" s="91" t="s">
        <v>165</v>
      </c>
      <c r="C194" s="91" t="s">
        <v>357</v>
      </c>
      <c r="D194" s="93">
        <v>1668</v>
      </c>
      <c r="E194" s="93">
        <v>48</v>
      </c>
      <c r="F194" s="93">
        <v>0</v>
      </c>
      <c r="G194" s="93">
        <v>1620</v>
      </c>
      <c r="H194" s="93">
        <v>0</v>
      </c>
      <c r="I194" s="93">
        <v>0</v>
      </c>
      <c r="J194" s="93">
        <v>1620</v>
      </c>
    </row>
    <row r="195" spans="1:10" x14ac:dyDescent="0.3">
      <c r="A195" s="91" t="s">
        <v>642</v>
      </c>
      <c r="B195" s="91" t="s">
        <v>643</v>
      </c>
      <c r="C195" s="91" t="s">
        <v>357</v>
      </c>
      <c r="D195" s="93">
        <v>852</v>
      </c>
      <c r="E195" s="93">
        <v>48</v>
      </c>
      <c r="F195" s="93">
        <v>0</v>
      </c>
      <c r="G195" s="93">
        <v>804</v>
      </c>
      <c r="H195" s="93">
        <v>192</v>
      </c>
      <c r="I195" s="93">
        <v>0</v>
      </c>
      <c r="J195" s="93">
        <v>996</v>
      </c>
    </row>
    <row r="196" spans="1:10" x14ac:dyDescent="0.3">
      <c r="A196" s="91" t="s">
        <v>644</v>
      </c>
      <c r="B196" s="91" t="s">
        <v>645</v>
      </c>
      <c r="C196" s="91" t="s">
        <v>357</v>
      </c>
      <c r="D196" s="93">
        <v>1176</v>
      </c>
      <c r="E196" s="93">
        <v>120</v>
      </c>
      <c r="F196" s="93">
        <v>0</v>
      </c>
      <c r="G196" s="93">
        <v>1056</v>
      </c>
      <c r="H196" s="93">
        <v>240</v>
      </c>
      <c r="I196" s="93">
        <v>0</v>
      </c>
      <c r="J196" s="93">
        <v>1296</v>
      </c>
    </row>
    <row r="197" spans="1:10" x14ac:dyDescent="0.3">
      <c r="A197" s="91" t="s">
        <v>646</v>
      </c>
      <c r="B197" s="91" t="s">
        <v>647</v>
      </c>
      <c r="C197" s="91" t="s">
        <v>357</v>
      </c>
      <c r="D197" s="93">
        <v>500</v>
      </c>
      <c r="E197" s="93">
        <v>0</v>
      </c>
      <c r="F197" s="93">
        <v>0</v>
      </c>
      <c r="G197" s="93">
        <v>500</v>
      </c>
      <c r="H197" s="93">
        <v>0</v>
      </c>
      <c r="I197" s="93">
        <v>0</v>
      </c>
      <c r="J197" s="93">
        <v>500</v>
      </c>
    </row>
    <row r="198" spans="1:10" x14ac:dyDescent="0.3">
      <c r="A198" s="91" t="s">
        <v>648</v>
      </c>
      <c r="B198" s="91" t="s">
        <v>649</v>
      </c>
      <c r="C198" s="91" t="s">
        <v>357</v>
      </c>
      <c r="D198" s="93">
        <v>72</v>
      </c>
      <c r="E198" s="93">
        <v>360</v>
      </c>
      <c r="F198" s="93">
        <v>0</v>
      </c>
      <c r="G198" s="93">
        <v>-288</v>
      </c>
      <c r="H198" s="93">
        <v>0</v>
      </c>
      <c r="I198" s="93">
        <v>0</v>
      </c>
      <c r="J198" s="93">
        <v>-288</v>
      </c>
    </row>
    <row r="199" spans="1:10" x14ac:dyDescent="0.3">
      <c r="A199" s="91" t="s">
        <v>650</v>
      </c>
      <c r="B199" s="91" t="s">
        <v>651</v>
      </c>
      <c r="C199" s="91" t="s">
        <v>357</v>
      </c>
      <c r="D199" s="93">
        <v>108</v>
      </c>
      <c r="E199" s="93">
        <v>588</v>
      </c>
      <c r="F199" s="93">
        <v>0</v>
      </c>
      <c r="G199" s="93">
        <v>-480</v>
      </c>
      <c r="H199" s="93">
        <v>0</v>
      </c>
      <c r="I199" s="93">
        <v>0</v>
      </c>
      <c r="J199" s="93">
        <v>-480</v>
      </c>
    </row>
    <row r="200" spans="1:10" x14ac:dyDescent="0.3">
      <c r="A200" s="91" t="s">
        <v>652</v>
      </c>
      <c r="B200" s="91" t="s">
        <v>653</v>
      </c>
      <c r="C200" s="91" t="s">
        <v>357</v>
      </c>
      <c r="D200" s="93">
        <v>1896</v>
      </c>
      <c r="E200" s="93">
        <v>480</v>
      </c>
      <c r="F200" s="93">
        <v>0</v>
      </c>
      <c r="G200" s="93">
        <v>1416</v>
      </c>
      <c r="H200" s="93">
        <v>732</v>
      </c>
      <c r="I200" s="93">
        <v>0</v>
      </c>
      <c r="J200" s="93">
        <v>2148</v>
      </c>
    </row>
    <row r="201" spans="1:10" x14ac:dyDescent="0.3">
      <c r="A201" s="91" t="s">
        <v>654</v>
      </c>
      <c r="B201" s="91" t="s">
        <v>655</v>
      </c>
      <c r="C201" s="91" t="s">
        <v>357</v>
      </c>
      <c r="D201" s="93">
        <v>1920</v>
      </c>
      <c r="E201" s="93">
        <v>660</v>
      </c>
      <c r="F201" s="93">
        <v>0</v>
      </c>
      <c r="G201" s="93">
        <v>1260</v>
      </c>
      <c r="H201" s="93">
        <v>1440</v>
      </c>
      <c r="I201" s="93">
        <v>0</v>
      </c>
      <c r="J201" s="93">
        <v>2700</v>
      </c>
    </row>
    <row r="202" spans="1:10" x14ac:dyDescent="0.3">
      <c r="A202" s="91" t="s">
        <v>656</v>
      </c>
      <c r="B202" s="91" t="s">
        <v>657</v>
      </c>
      <c r="C202" s="91" t="s">
        <v>357</v>
      </c>
      <c r="D202" s="93">
        <v>0</v>
      </c>
      <c r="E202" s="93">
        <v>0</v>
      </c>
      <c r="F202" s="93">
        <v>0</v>
      </c>
      <c r="G202" s="93">
        <v>0</v>
      </c>
      <c r="H202" s="93">
        <v>1440</v>
      </c>
      <c r="I202" s="93">
        <v>0</v>
      </c>
      <c r="J202" s="93">
        <v>1440</v>
      </c>
    </row>
    <row r="203" spans="1:10" x14ac:dyDescent="0.3">
      <c r="A203" s="91" t="s">
        <v>658</v>
      </c>
      <c r="B203" s="91" t="s">
        <v>659</v>
      </c>
      <c r="C203" s="91" t="s">
        <v>357</v>
      </c>
      <c r="D203" s="93">
        <v>960</v>
      </c>
      <c r="E203" s="93">
        <v>324</v>
      </c>
      <c r="F203" s="93">
        <v>0</v>
      </c>
      <c r="G203" s="93">
        <v>636</v>
      </c>
      <c r="H203" s="93">
        <v>2928</v>
      </c>
      <c r="I203" s="93">
        <v>0</v>
      </c>
      <c r="J203" s="93">
        <v>3564</v>
      </c>
    </row>
    <row r="204" spans="1:10" x14ac:dyDescent="0.3">
      <c r="A204" s="91" t="s">
        <v>50</v>
      </c>
      <c r="B204" s="91" t="s">
        <v>167</v>
      </c>
      <c r="C204" s="91" t="s">
        <v>357</v>
      </c>
      <c r="D204" s="93">
        <v>612</v>
      </c>
      <c r="E204" s="93">
        <v>180</v>
      </c>
      <c r="F204" s="93">
        <v>0</v>
      </c>
      <c r="G204" s="93">
        <v>432</v>
      </c>
      <c r="H204" s="93">
        <v>0</v>
      </c>
      <c r="I204" s="93">
        <v>0</v>
      </c>
      <c r="J204" s="93">
        <v>432</v>
      </c>
    </row>
    <row r="205" spans="1:10" x14ac:dyDescent="0.3">
      <c r="A205" s="91" t="s">
        <v>660</v>
      </c>
      <c r="B205" s="91" t="s">
        <v>661</v>
      </c>
      <c r="C205" s="91" t="s">
        <v>357</v>
      </c>
      <c r="D205" s="93">
        <v>1596</v>
      </c>
      <c r="E205" s="93">
        <v>1272</v>
      </c>
      <c r="F205" s="93">
        <v>0</v>
      </c>
      <c r="G205" s="93">
        <v>324</v>
      </c>
      <c r="H205" s="93">
        <v>288</v>
      </c>
      <c r="I205" s="93">
        <v>0</v>
      </c>
      <c r="J205" s="93">
        <v>612</v>
      </c>
    </row>
    <row r="206" spans="1:10" x14ac:dyDescent="0.3">
      <c r="A206" s="91" t="s">
        <v>662</v>
      </c>
      <c r="B206" s="91" t="s">
        <v>663</v>
      </c>
      <c r="C206" s="91" t="s">
        <v>357</v>
      </c>
      <c r="D206" s="93">
        <v>1278</v>
      </c>
      <c r="E206" s="93">
        <v>0</v>
      </c>
      <c r="F206" s="93">
        <v>0</v>
      </c>
      <c r="G206" s="93">
        <v>1278</v>
      </c>
      <c r="H206" s="93">
        <v>0</v>
      </c>
      <c r="I206" s="93">
        <v>0</v>
      </c>
      <c r="J206" s="93">
        <v>1278</v>
      </c>
    </row>
    <row r="207" spans="1:10" x14ac:dyDescent="0.3">
      <c r="A207" s="91" t="s">
        <v>51</v>
      </c>
      <c r="B207" s="91" t="s">
        <v>168</v>
      </c>
      <c r="C207" s="91" t="s">
        <v>357</v>
      </c>
      <c r="D207" s="93">
        <v>10560</v>
      </c>
      <c r="E207" s="93">
        <v>120</v>
      </c>
      <c r="F207" s="93">
        <v>0</v>
      </c>
      <c r="G207" s="93">
        <v>10440</v>
      </c>
      <c r="H207" s="93">
        <v>0</v>
      </c>
      <c r="I207" s="93">
        <v>0</v>
      </c>
      <c r="J207" s="93">
        <v>10440</v>
      </c>
    </row>
    <row r="208" spans="1:10" x14ac:dyDescent="0.3">
      <c r="A208" s="91" t="s">
        <v>52</v>
      </c>
      <c r="B208" s="91" t="s">
        <v>169</v>
      </c>
      <c r="C208" s="91" t="s">
        <v>357</v>
      </c>
      <c r="D208" s="93">
        <v>8370</v>
      </c>
      <c r="E208" s="93">
        <v>435</v>
      </c>
      <c r="F208" s="93">
        <v>0</v>
      </c>
      <c r="G208" s="93">
        <v>7935</v>
      </c>
      <c r="H208" s="93">
        <v>0</v>
      </c>
      <c r="I208" s="93">
        <v>0</v>
      </c>
      <c r="J208" s="93">
        <v>7935</v>
      </c>
    </row>
    <row r="209" spans="1:10" x14ac:dyDescent="0.3">
      <c r="A209" s="91" t="s">
        <v>53</v>
      </c>
      <c r="B209" s="91" t="s">
        <v>170</v>
      </c>
      <c r="C209" s="91" t="s">
        <v>357</v>
      </c>
      <c r="D209" s="93">
        <v>4665</v>
      </c>
      <c r="E209" s="93">
        <v>192</v>
      </c>
      <c r="F209" s="93">
        <v>0</v>
      </c>
      <c r="G209" s="93">
        <v>4473</v>
      </c>
      <c r="H209" s="93">
        <v>0</v>
      </c>
      <c r="I209" s="93">
        <v>0</v>
      </c>
      <c r="J209" s="93">
        <v>4473</v>
      </c>
    </row>
    <row r="210" spans="1:10" x14ac:dyDescent="0.3">
      <c r="A210" s="91" t="s">
        <v>54</v>
      </c>
      <c r="B210" s="91" t="s">
        <v>171</v>
      </c>
      <c r="C210" s="91" t="s">
        <v>357</v>
      </c>
      <c r="D210" s="93">
        <v>4272</v>
      </c>
      <c r="E210" s="93">
        <v>228</v>
      </c>
      <c r="F210" s="93">
        <v>0</v>
      </c>
      <c r="G210" s="93">
        <v>4044</v>
      </c>
      <c r="H210" s="93">
        <v>0</v>
      </c>
      <c r="I210" s="93">
        <v>0</v>
      </c>
      <c r="J210" s="93">
        <v>4044</v>
      </c>
    </row>
    <row r="211" spans="1:10" x14ac:dyDescent="0.3">
      <c r="A211" s="91" t="s">
        <v>664</v>
      </c>
      <c r="B211" s="91" t="s">
        <v>665</v>
      </c>
      <c r="C211" s="91" t="s">
        <v>357</v>
      </c>
      <c r="D211" s="93">
        <v>8736</v>
      </c>
      <c r="E211" s="93">
        <v>4176</v>
      </c>
      <c r="F211" s="93">
        <v>0</v>
      </c>
      <c r="G211" s="93">
        <v>4560</v>
      </c>
      <c r="H211" s="93">
        <v>6636</v>
      </c>
      <c r="I211" s="93">
        <v>0</v>
      </c>
      <c r="J211" s="93">
        <v>11196</v>
      </c>
    </row>
    <row r="212" spans="1:10" x14ac:dyDescent="0.3">
      <c r="A212" s="91" t="s">
        <v>666</v>
      </c>
      <c r="B212" s="91" t="s">
        <v>667</v>
      </c>
      <c r="C212" s="91" t="s">
        <v>357</v>
      </c>
      <c r="D212" s="93">
        <v>6696</v>
      </c>
      <c r="E212" s="93">
        <v>2868</v>
      </c>
      <c r="F212" s="93">
        <v>0</v>
      </c>
      <c r="G212" s="93">
        <v>3828</v>
      </c>
      <c r="H212" s="93">
        <v>6120</v>
      </c>
      <c r="I212" s="93">
        <v>0</v>
      </c>
      <c r="J212" s="93">
        <v>9948</v>
      </c>
    </row>
    <row r="213" spans="1:10" x14ac:dyDescent="0.3">
      <c r="A213" s="91" t="s">
        <v>668</v>
      </c>
      <c r="B213" s="91" t="s">
        <v>669</v>
      </c>
      <c r="C213" s="91" t="s">
        <v>357</v>
      </c>
      <c r="D213" s="93">
        <v>67200</v>
      </c>
      <c r="E213" s="93">
        <v>0</v>
      </c>
      <c r="F213" s="93">
        <v>0</v>
      </c>
      <c r="G213" s="93">
        <v>67200</v>
      </c>
      <c r="H213" s="93">
        <v>0</v>
      </c>
      <c r="I213" s="93">
        <v>0</v>
      </c>
      <c r="J213" s="93">
        <v>67200</v>
      </c>
    </row>
    <row r="214" spans="1:10" x14ac:dyDescent="0.3">
      <c r="A214" s="91" t="s">
        <v>670</v>
      </c>
      <c r="B214" s="91" t="s">
        <v>671</v>
      </c>
      <c r="C214" s="91" t="s">
        <v>357</v>
      </c>
      <c r="D214" s="93">
        <v>1386</v>
      </c>
      <c r="E214" s="93">
        <v>0</v>
      </c>
      <c r="F214" s="93">
        <v>0</v>
      </c>
      <c r="G214" s="93">
        <v>1386</v>
      </c>
      <c r="H214" s="93">
        <v>0</v>
      </c>
      <c r="I214" s="93">
        <v>0</v>
      </c>
      <c r="J214" s="93">
        <v>1386</v>
      </c>
    </row>
    <row r="215" spans="1:10" x14ac:dyDescent="0.3">
      <c r="A215" s="91" t="s">
        <v>55</v>
      </c>
      <c r="B215" s="91" t="s">
        <v>672</v>
      </c>
      <c r="C215" s="91" t="s">
        <v>357</v>
      </c>
      <c r="D215" s="93">
        <v>10896</v>
      </c>
      <c r="E215" s="93">
        <v>144</v>
      </c>
      <c r="F215" s="93">
        <v>0</v>
      </c>
      <c r="G215" s="93">
        <v>10752</v>
      </c>
      <c r="H215" s="93">
        <v>0</v>
      </c>
      <c r="I215" s="93">
        <v>0</v>
      </c>
      <c r="J215" s="93">
        <v>10752</v>
      </c>
    </row>
    <row r="216" spans="1:10" x14ac:dyDescent="0.3">
      <c r="A216" s="91" t="s">
        <v>56</v>
      </c>
      <c r="B216" s="91" t="s">
        <v>173</v>
      </c>
      <c r="C216" s="91" t="s">
        <v>357</v>
      </c>
      <c r="D216" s="93">
        <v>6804</v>
      </c>
      <c r="E216" s="93">
        <v>48</v>
      </c>
      <c r="F216" s="93">
        <v>0</v>
      </c>
      <c r="G216" s="93">
        <v>6756</v>
      </c>
      <c r="H216" s="93">
        <v>0</v>
      </c>
      <c r="I216" s="93">
        <v>0</v>
      </c>
      <c r="J216" s="93">
        <v>6756</v>
      </c>
    </row>
    <row r="217" spans="1:10" x14ac:dyDescent="0.3">
      <c r="A217" s="91" t="s">
        <v>57</v>
      </c>
      <c r="B217" s="91" t="s">
        <v>174</v>
      </c>
      <c r="C217" s="91" t="s">
        <v>357</v>
      </c>
      <c r="D217" s="93">
        <v>228</v>
      </c>
      <c r="E217" s="93">
        <v>0</v>
      </c>
      <c r="F217" s="93">
        <v>0</v>
      </c>
      <c r="G217" s="93">
        <v>228</v>
      </c>
      <c r="H217" s="93">
        <v>0</v>
      </c>
      <c r="I217" s="93">
        <v>0</v>
      </c>
      <c r="J217" s="93">
        <v>228</v>
      </c>
    </row>
    <row r="218" spans="1:10" x14ac:dyDescent="0.3">
      <c r="A218" s="91" t="s">
        <v>673</v>
      </c>
      <c r="B218" s="91" t="s">
        <v>674</v>
      </c>
      <c r="C218" s="91" t="s">
        <v>357</v>
      </c>
      <c r="D218" s="93">
        <v>804</v>
      </c>
      <c r="E218" s="93">
        <v>84</v>
      </c>
      <c r="F218" s="93">
        <v>0</v>
      </c>
      <c r="G218" s="93">
        <v>720</v>
      </c>
      <c r="H218" s="93">
        <v>0</v>
      </c>
      <c r="I218" s="93">
        <v>0</v>
      </c>
      <c r="J218" s="93">
        <v>720</v>
      </c>
    </row>
    <row r="219" spans="1:10" x14ac:dyDescent="0.3">
      <c r="A219" s="91" t="s">
        <v>675</v>
      </c>
      <c r="B219" s="91" t="s">
        <v>676</v>
      </c>
      <c r="C219" s="91" t="s">
        <v>357</v>
      </c>
      <c r="D219" s="93">
        <v>192</v>
      </c>
      <c r="E219" s="93">
        <v>0</v>
      </c>
      <c r="F219" s="93">
        <v>0</v>
      </c>
      <c r="G219" s="93">
        <v>192</v>
      </c>
      <c r="H219" s="93">
        <v>204</v>
      </c>
      <c r="I219" s="93">
        <v>0</v>
      </c>
      <c r="J219" s="93">
        <v>396</v>
      </c>
    </row>
    <row r="220" spans="1:10" x14ac:dyDescent="0.3">
      <c r="A220" s="91" t="s">
        <v>677</v>
      </c>
      <c r="B220" s="91" t="s">
        <v>678</v>
      </c>
      <c r="C220" s="91" t="s">
        <v>357</v>
      </c>
      <c r="D220" s="93">
        <v>0</v>
      </c>
      <c r="E220" s="93">
        <v>0</v>
      </c>
      <c r="F220" s="93">
        <v>0</v>
      </c>
      <c r="G220" s="93">
        <v>0</v>
      </c>
      <c r="H220" s="93">
        <v>132</v>
      </c>
      <c r="I220" s="93">
        <v>0</v>
      </c>
      <c r="J220" s="93">
        <v>132</v>
      </c>
    </row>
    <row r="221" spans="1:10" x14ac:dyDescent="0.3">
      <c r="A221" s="91" t="s">
        <v>679</v>
      </c>
      <c r="B221" s="91" t="s">
        <v>680</v>
      </c>
      <c r="C221" s="91" t="s">
        <v>357</v>
      </c>
      <c r="D221" s="93">
        <v>504</v>
      </c>
      <c r="E221" s="93">
        <v>120</v>
      </c>
      <c r="F221" s="93">
        <v>0</v>
      </c>
      <c r="G221" s="93">
        <v>384</v>
      </c>
      <c r="H221" s="93">
        <v>0</v>
      </c>
      <c r="I221" s="93">
        <v>0</v>
      </c>
      <c r="J221" s="93">
        <v>384</v>
      </c>
    </row>
    <row r="222" spans="1:10" x14ac:dyDescent="0.3">
      <c r="A222" s="91" t="s">
        <v>681</v>
      </c>
      <c r="B222" s="91" t="s">
        <v>682</v>
      </c>
      <c r="C222" s="91" t="s">
        <v>357</v>
      </c>
      <c r="D222" s="93">
        <v>576</v>
      </c>
      <c r="E222" s="93">
        <v>144</v>
      </c>
      <c r="F222" s="93">
        <v>0</v>
      </c>
      <c r="G222" s="93">
        <v>432</v>
      </c>
      <c r="H222" s="93">
        <v>48</v>
      </c>
      <c r="I222" s="93">
        <v>0</v>
      </c>
      <c r="J222" s="93">
        <v>480</v>
      </c>
    </row>
    <row r="223" spans="1:10" x14ac:dyDescent="0.3">
      <c r="A223" s="91" t="s">
        <v>683</v>
      </c>
      <c r="B223" s="91" t="s">
        <v>684</v>
      </c>
      <c r="C223" s="91" t="s">
        <v>357</v>
      </c>
      <c r="D223" s="93">
        <v>60</v>
      </c>
      <c r="E223" s="93">
        <v>96</v>
      </c>
      <c r="F223" s="93">
        <v>0</v>
      </c>
      <c r="G223" s="93">
        <v>-36</v>
      </c>
      <c r="H223" s="93">
        <v>84</v>
      </c>
      <c r="I223" s="93">
        <v>0</v>
      </c>
      <c r="J223" s="93">
        <v>48</v>
      </c>
    </row>
    <row r="224" spans="1:10" x14ac:dyDescent="0.3">
      <c r="A224" s="91" t="s">
        <v>685</v>
      </c>
      <c r="B224" s="91" t="s">
        <v>686</v>
      </c>
      <c r="C224" s="91" t="s">
        <v>357</v>
      </c>
      <c r="D224" s="93">
        <v>0</v>
      </c>
      <c r="E224" s="93">
        <v>96</v>
      </c>
      <c r="F224" s="93">
        <v>0</v>
      </c>
      <c r="G224" s="93">
        <v>-96</v>
      </c>
      <c r="H224" s="93">
        <v>0</v>
      </c>
      <c r="I224" s="93">
        <v>0</v>
      </c>
      <c r="J224" s="93">
        <v>-96</v>
      </c>
    </row>
    <row r="225" spans="1:10" x14ac:dyDescent="0.3">
      <c r="A225" s="91" t="s">
        <v>58</v>
      </c>
      <c r="B225" s="91" t="s">
        <v>175</v>
      </c>
      <c r="C225" s="91" t="s">
        <v>357</v>
      </c>
      <c r="D225" s="93">
        <v>27192</v>
      </c>
      <c r="E225" s="93">
        <v>996</v>
      </c>
      <c r="F225" s="93">
        <v>0</v>
      </c>
      <c r="G225" s="93">
        <v>26196</v>
      </c>
      <c r="H225" s="93">
        <v>0</v>
      </c>
      <c r="I225" s="93">
        <v>0</v>
      </c>
      <c r="J225" s="93">
        <v>26196</v>
      </c>
    </row>
    <row r="226" spans="1:10" x14ac:dyDescent="0.3">
      <c r="A226" s="91" t="s">
        <v>60</v>
      </c>
      <c r="B226" s="91" t="s">
        <v>177</v>
      </c>
      <c r="C226" s="91" t="s">
        <v>357</v>
      </c>
      <c r="D226" s="93">
        <v>2388</v>
      </c>
      <c r="E226" s="93">
        <v>60</v>
      </c>
      <c r="F226" s="93">
        <v>0</v>
      </c>
      <c r="G226" s="93">
        <v>2328</v>
      </c>
      <c r="H226" s="93">
        <v>0</v>
      </c>
      <c r="I226" s="93">
        <v>0</v>
      </c>
      <c r="J226" s="93">
        <v>2328</v>
      </c>
    </row>
    <row r="227" spans="1:10" x14ac:dyDescent="0.3">
      <c r="A227" s="91" t="s">
        <v>65</v>
      </c>
      <c r="B227" s="91" t="s">
        <v>687</v>
      </c>
      <c r="C227" s="91" t="s">
        <v>357</v>
      </c>
      <c r="D227" s="93">
        <v>1080</v>
      </c>
      <c r="E227" s="93">
        <v>48</v>
      </c>
      <c r="F227" s="93">
        <v>0</v>
      </c>
      <c r="G227" s="93">
        <v>1032</v>
      </c>
      <c r="H227" s="93">
        <v>0</v>
      </c>
      <c r="I227" s="93">
        <v>0</v>
      </c>
      <c r="J227" s="93">
        <v>1032</v>
      </c>
    </row>
    <row r="228" spans="1:10" x14ac:dyDescent="0.3">
      <c r="A228" s="91" t="s">
        <v>66</v>
      </c>
      <c r="B228" s="91" t="s">
        <v>183</v>
      </c>
      <c r="C228" s="91" t="s">
        <v>357</v>
      </c>
      <c r="D228" s="93">
        <v>5364</v>
      </c>
      <c r="E228" s="93">
        <v>144</v>
      </c>
      <c r="F228" s="93">
        <v>0</v>
      </c>
      <c r="G228" s="93">
        <v>5220</v>
      </c>
      <c r="H228" s="93">
        <v>0</v>
      </c>
      <c r="I228" s="93">
        <v>0</v>
      </c>
      <c r="J228" s="93">
        <v>5220</v>
      </c>
    </row>
    <row r="229" spans="1:10" x14ac:dyDescent="0.3">
      <c r="A229" s="91" t="s">
        <v>688</v>
      </c>
      <c r="B229" s="91" t="s">
        <v>689</v>
      </c>
      <c r="C229" s="91" t="s">
        <v>357</v>
      </c>
      <c r="D229" s="93">
        <v>768</v>
      </c>
      <c r="E229" s="93">
        <v>240</v>
      </c>
      <c r="F229" s="93">
        <v>0</v>
      </c>
      <c r="G229" s="93">
        <v>528</v>
      </c>
      <c r="H229" s="93">
        <v>1752</v>
      </c>
      <c r="I229" s="93">
        <v>0</v>
      </c>
      <c r="J229" s="93">
        <v>2280</v>
      </c>
    </row>
    <row r="230" spans="1:10" x14ac:dyDescent="0.3">
      <c r="A230" s="91" t="s">
        <v>690</v>
      </c>
      <c r="B230" s="91" t="s">
        <v>691</v>
      </c>
      <c r="C230" s="91" t="s">
        <v>357</v>
      </c>
      <c r="D230" s="93">
        <v>0</v>
      </c>
      <c r="E230" s="93">
        <v>0</v>
      </c>
      <c r="F230" s="93">
        <v>0</v>
      </c>
      <c r="G230" s="93">
        <v>0</v>
      </c>
      <c r="H230" s="93">
        <v>24</v>
      </c>
      <c r="I230" s="93">
        <v>0</v>
      </c>
      <c r="J230" s="93">
        <v>24</v>
      </c>
    </row>
    <row r="231" spans="1:10" x14ac:dyDescent="0.3">
      <c r="A231" s="91" t="s">
        <v>692</v>
      </c>
      <c r="B231" s="91" t="s">
        <v>693</v>
      </c>
      <c r="C231" s="91" t="s">
        <v>357</v>
      </c>
      <c r="D231" s="93">
        <v>240</v>
      </c>
      <c r="E231" s="93">
        <v>168</v>
      </c>
      <c r="F231" s="93">
        <v>0</v>
      </c>
      <c r="G231" s="93">
        <v>72</v>
      </c>
      <c r="H231" s="93">
        <v>0</v>
      </c>
      <c r="I231" s="93">
        <v>0</v>
      </c>
      <c r="J231" s="93">
        <v>72</v>
      </c>
    </row>
    <row r="232" spans="1:10" x14ac:dyDescent="0.3">
      <c r="A232" s="91" t="s">
        <v>694</v>
      </c>
      <c r="B232" s="91" t="s">
        <v>695</v>
      </c>
      <c r="C232" s="91" t="s">
        <v>357</v>
      </c>
      <c r="D232" s="93">
        <v>528</v>
      </c>
      <c r="E232" s="93">
        <v>192</v>
      </c>
      <c r="F232" s="93">
        <v>0</v>
      </c>
      <c r="G232" s="93">
        <v>336</v>
      </c>
      <c r="H232" s="93">
        <v>0</v>
      </c>
      <c r="I232" s="93">
        <v>0</v>
      </c>
      <c r="J232" s="93">
        <v>336</v>
      </c>
    </row>
    <row r="233" spans="1:10" x14ac:dyDescent="0.3">
      <c r="A233" s="91" t="s">
        <v>696</v>
      </c>
      <c r="B233" s="91" t="s">
        <v>697</v>
      </c>
      <c r="C233" s="91" t="s">
        <v>357</v>
      </c>
      <c r="D233" s="93">
        <v>50</v>
      </c>
      <c r="E233" s="93">
        <v>0</v>
      </c>
      <c r="F233" s="93">
        <v>0</v>
      </c>
      <c r="G233" s="93">
        <v>50</v>
      </c>
      <c r="H233" s="93">
        <v>0</v>
      </c>
      <c r="I233" s="93">
        <v>0</v>
      </c>
      <c r="J233" s="93">
        <v>50</v>
      </c>
    </row>
    <row r="234" spans="1:10" x14ac:dyDescent="0.3">
      <c r="A234" s="91" t="s">
        <v>698</v>
      </c>
      <c r="B234" s="91" t="s">
        <v>699</v>
      </c>
      <c r="C234" s="91" t="s">
        <v>357</v>
      </c>
      <c r="D234" s="93">
        <v>0</v>
      </c>
      <c r="E234" s="93">
        <v>0</v>
      </c>
      <c r="F234" s="93">
        <v>0</v>
      </c>
      <c r="G234" s="93">
        <v>0</v>
      </c>
      <c r="H234" s="93">
        <v>180</v>
      </c>
      <c r="I234" s="93">
        <v>0</v>
      </c>
      <c r="J234" s="93">
        <v>180</v>
      </c>
    </row>
    <row r="235" spans="1:10" x14ac:dyDescent="0.3">
      <c r="A235" s="91" t="s">
        <v>700</v>
      </c>
      <c r="B235" s="91" t="s">
        <v>701</v>
      </c>
      <c r="C235" s="91" t="s">
        <v>357</v>
      </c>
      <c r="D235" s="93">
        <v>0</v>
      </c>
      <c r="E235" s="93">
        <v>0</v>
      </c>
      <c r="F235" s="93">
        <v>0</v>
      </c>
      <c r="G235" s="93">
        <v>0</v>
      </c>
      <c r="H235" s="93">
        <v>192</v>
      </c>
      <c r="I235" s="93">
        <v>0</v>
      </c>
      <c r="J235" s="93">
        <v>192</v>
      </c>
    </row>
    <row r="236" spans="1:10" x14ac:dyDescent="0.3">
      <c r="A236" s="91" t="s">
        <v>702</v>
      </c>
      <c r="B236" s="91" t="s">
        <v>703</v>
      </c>
      <c r="C236" s="91" t="s">
        <v>357</v>
      </c>
      <c r="D236" s="93">
        <v>0</v>
      </c>
      <c r="E236" s="93">
        <v>0</v>
      </c>
      <c r="F236" s="93">
        <v>0</v>
      </c>
      <c r="G236" s="93">
        <v>0</v>
      </c>
      <c r="H236" s="93">
        <v>312</v>
      </c>
      <c r="I236" s="93">
        <v>0</v>
      </c>
      <c r="J236" s="93">
        <v>312</v>
      </c>
    </row>
    <row r="237" spans="1:10" x14ac:dyDescent="0.3">
      <c r="A237" s="91" t="s">
        <v>704</v>
      </c>
      <c r="B237" s="91" t="s">
        <v>705</v>
      </c>
      <c r="C237" s="91" t="s">
        <v>357</v>
      </c>
      <c r="D237" s="93">
        <v>0</v>
      </c>
      <c r="E237" s="93">
        <v>12</v>
      </c>
      <c r="F237" s="93">
        <v>0</v>
      </c>
      <c r="G237" s="93">
        <v>-12</v>
      </c>
      <c r="H237" s="93">
        <v>0</v>
      </c>
      <c r="I237" s="93">
        <v>0</v>
      </c>
      <c r="J237" s="93">
        <v>-12</v>
      </c>
    </row>
    <row r="238" spans="1:10" x14ac:dyDescent="0.3">
      <c r="A238" s="91" t="s">
        <v>706</v>
      </c>
      <c r="B238" s="91" t="s">
        <v>707</v>
      </c>
      <c r="C238" s="91" t="s">
        <v>357</v>
      </c>
      <c r="D238" s="93">
        <v>0</v>
      </c>
      <c r="E238" s="93">
        <v>0</v>
      </c>
      <c r="F238" s="93">
        <v>0</v>
      </c>
      <c r="G238" s="93">
        <v>0</v>
      </c>
      <c r="H238" s="93">
        <v>432</v>
      </c>
      <c r="I238" s="93">
        <v>0</v>
      </c>
      <c r="J238" s="93">
        <v>432</v>
      </c>
    </row>
    <row r="239" spans="1:10" x14ac:dyDescent="0.3">
      <c r="A239" s="91" t="s">
        <v>68</v>
      </c>
      <c r="B239" s="91" t="s">
        <v>185</v>
      </c>
      <c r="C239" s="91" t="s">
        <v>357</v>
      </c>
      <c r="D239" s="93">
        <v>1212</v>
      </c>
      <c r="E239" s="93">
        <v>84</v>
      </c>
      <c r="F239" s="93">
        <v>0</v>
      </c>
      <c r="G239" s="93">
        <v>1128</v>
      </c>
      <c r="H239" s="93">
        <v>0</v>
      </c>
      <c r="I239" s="93">
        <v>0</v>
      </c>
      <c r="J239" s="93">
        <v>1128</v>
      </c>
    </row>
    <row r="240" spans="1:10" x14ac:dyDescent="0.3">
      <c r="A240" s="91" t="s">
        <v>69</v>
      </c>
      <c r="B240" s="91" t="s">
        <v>186</v>
      </c>
      <c r="C240" s="91" t="s">
        <v>357</v>
      </c>
      <c r="D240" s="93">
        <v>0</v>
      </c>
      <c r="E240" s="93">
        <v>60</v>
      </c>
      <c r="F240" s="93">
        <v>0</v>
      </c>
      <c r="G240" s="93">
        <v>-60</v>
      </c>
      <c r="H240" s="93">
        <v>0</v>
      </c>
      <c r="I240" s="93">
        <v>0</v>
      </c>
      <c r="J240" s="93">
        <v>-60</v>
      </c>
    </row>
    <row r="241" spans="1:10" x14ac:dyDescent="0.3">
      <c r="A241" s="91" t="s">
        <v>70</v>
      </c>
      <c r="B241" s="91" t="s">
        <v>187</v>
      </c>
      <c r="C241" s="91" t="s">
        <v>357</v>
      </c>
      <c r="D241" s="93">
        <v>4956</v>
      </c>
      <c r="E241" s="93">
        <v>228</v>
      </c>
      <c r="F241" s="93">
        <v>0</v>
      </c>
      <c r="G241" s="93">
        <v>4728</v>
      </c>
      <c r="H241" s="93">
        <v>0</v>
      </c>
      <c r="I241" s="93">
        <v>0</v>
      </c>
      <c r="J241" s="93">
        <v>4728</v>
      </c>
    </row>
    <row r="242" spans="1:10" x14ac:dyDescent="0.3">
      <c r="A242" s="91" t="s">
        <v>71</v>
      </c>
      <c r="B242" s="91" t="s">
        <v>188</v>
      </c>
      <c r="C242" s="91" t="s">
        <v>357</v>
      </c>
      <c r="D242" s="93">
        <v>5304</v>
      </c>
      <c r="E242" s="93">
        <v>120</v>
      </c>
      <c r="F242" s="93">
        <v>0</v>
      </c>
      <c r="G242" s="93">
        <v>5184</v>
      </c>
      <c r="H242" s="93">
        <v>0</v>
      </c>
      <c r="I242" s="93">
        <v>0</v>
      </c>
      <c r="J242" s="93">
        <v>5184</v>
      </c>
    </row>
    <row r="243" spans="1:10" x14ac:dyDescent="0.3">
      <c r="A243" s="91" t="s">
        <v>75</v>
      </c>
      <c r="B243" s="91" t="s">
        <v>192</v>
      </c>
      <c r="C243" s="91" t="s">
        <v>357</v>
      </c>
      <c r="D243" s="93">
        <v>12240</v>
      </c>
      <c r="E243" s="93">
        <v>360</v>
      </c>
      <c r="F243" s="93">
        <v>0</v>
      </c>
      <c r="G243" s="93">
        <v>11880</v>
      </c>
      <c r="H243" s="93">
        <v>0</v>
      </c>
      <c r="I243" s="93">
        <v>0</v>
      </c>
      <c r="J243" s="93">
        <v>11880</v>
      </c>
    </row>
    <row r="244" spans="1:10" x14ac:dyDescent="0.3">
      <c r="A244" s="91" t="s">
        <v>76</v>
      </c>
      <c r="B244" s="91" t="s">
        <v>193</v>
      </c>
      <c r="C244" s="91" t="s">
        <v>357</v>
      </c>
      <c r="D244" s="93">
        <v>2508</v>
      </c>
      <c r="E244" s="93">
        <v>36</v>
      </c>
      <c r="F244" s="93">
        <v>0</v>
      </c>
      <c r="G244" s="93">
        <v>2472</v>
      </c>
      <c r="H244" s="93">
        <v>0</v>
      </c>
      <c r="I244" s="93">
        <v>0</v>
      </c>
      <c r="J244" s="93">
        <v>2472</v>
      </c>
    </row>
    <row r="245" spans="1:10" x14ac:dyDescent="0.3">
      <c r="A245" s="91" t="s">
        <v>77</v>
      </c>
      <c r="B245" s="91" t="s">
        <v>194</v>
      </c>
      <c r="C245" s="91" t="s">
        <v>357</v>
      </c>
      <c r="D245" s="93">
        <v>3060</v>
      </c>
      <c r="E245" s="93">
        <v>36</v>
      </c>
      <c r="F245" s="93">
        <v>0</v>
      </c>
      <c r="G245" s="93">
        <v>3024</v>
      </c>
      <c r="H245" s="93">
        <v>0</v>
      </c>
      <c r="I245" s="93">
        <v>0</v>
      </c>
      <c r="J245" s="93">
        <v>3024</v>
      </c>
    </row>
    <row r="246" spans="1:10" x14ac:dyDescent="0.3">
      <c r="A246" s="91" t="s">
        <v>708</v>
      </c>
      <c r="B246" s="91" t="s">
        <v>709</v>
      </c>
      <c r="C246" s="91" t="s">
        <v>357</v>
      </c>
      <c r="D246" s="93">
        <v>396</v>
      </c>
      <c r="E246" s="93">
        <v>36</v>
      </c>
      <c r="F246" s="93">
        <v>0</v>
      </c>
      <c r="G246" s="93">
        <v>360</v>
      </c>
      <c r="H246" s="93">
        <v>1260</v>
      </c>
      <c r="I246" s="93">
        <v>0</v>
      </c>
      <c r="J246" s="93">
        <v>1620</v>
      </c>
    </row>
    <row r="247" spans="1:10" x14ac:dyDescent="0.3">
      <c r="A247" s="91" t="s">
        <v>78</v>
      </c>
      <c r="B247" s="91" t="s">
        <v>710</v>
      </c>
      <c r="C247" s="91" t="s">
        <v>357</v>
      </c>
      <c r="D247" s="93">
        <v>0</v>
      </c>
      <c r="E247" s="93">
        <v>168</v>
      </c>
      <c r="F247" s="93">
        <v>0</v>
      </c>
      <c r="G247" s="93">
        <v>-168</v>
      </c>
      <c r="H247" s="93">
        <v>0</v>
      </c>
      <c r="I247" s="93">
        <v>0</v>
      </c>
      <c r="J247" s="93">
        <v>-168</v>
      </c>
    </row>
    <row r="248" spans="1:10" x14ac:dyDescent="0.3">
      <c r="A248" s="91" t="s">
        <v>80</v>
      </c>
      <c r="B248" s="91" t="s">
        <v>197</v>
      </c>
      <c r="C248" s="91" t="s">
        <v>357</v>
      </c>
      <c r="D248" s="93">
        <v>492</v>
      </c>
      <c r="E248" s="93">
        <v>0</v>
      </c>
      <c r="F248" s="93">
        <v>0</v>
      </c>
      <c r="G248" s="93">
        <v>492</v>
      </c>
      <c r="H248" s="93">
        <v>0</v>
      </c>
      <c r="I248" s="93">
        <v>0</v>
      </c>
      <c r="J248" s="93">
        <v>492</v>
      </c>
    </row>
    <row r="249" spans="1:10" x14ac:dyDescent="0.3">
      <c r="A249" s="91" t="s">
        <v>81</v>
      </c>
      <c r="B249" s="91" t="s">
        <v>198</v>
      </c>
      <c r="C249" s="91" t="s">
        <v>357</v>
      </c>
      <c r="D249" s="93">
        <v>792</v>
      </c>
      <c r="E249" s="93">
        <v>12</v>
      </c>
      <c r="F249" s="93">
        <v>0</v>
      </c>
      <c r="G249" s="93">
        <v>780</v>
      </c>
      <c r="H249" s="93">
        <v>0</v>
      </c>
      <c r="I249" s="93">
        <v>0</v>
      </c>
      <c r="J249" s="93">
        <v>780</v>
      </c>
    </row>
    <row r="250" spans="1:10" x14ac:dyDescent="0.3">
      <c r="A250" s="91" t="s">
        <v>82</v>
      </c>
      <c r="B250" s="91" t="s">
        <v>199</v>
      </c>
      <c r="C250" s="91" t="s">
        <v>357</v>
      </c>
      <c r="D250" s="93">
        <v>1812</v>
      </c>
      <c r="E250" s="93">
        <v>24</v>
      </c>
      <c r="F250" s="93">
        <v>0</v>
      </c>
      <c r="G250" s="93">
        <v>1788</v>
      </c>
      <c r="H250" s="93">
        <v>0</v>
      </c>
      <c r="I250" s="93">
        <v>0</v>
      </c>
      <c r="J250" s="93">
        <v>1788</v>
      </c>
    </row>
    <row r="251" spans="1:10" x14ac:dyDescent="0.3">
      <c r="A251" s="91" t="s">
        <v>83</v>
      </c>
      <c r="B251" s="91" t="s">
        <v>200</v>
      </c>
      <c r="C251" s="91" t="s">
        <v>357</v>
      </c>
      <c r="D251" s="93">
        <v>12</v>
      </c>
      <c r="E251" s="93">
        <v>12</v>
      </c>
      <c r="F251" s="93">
        <v>0</v>
      </c>
      <c r="G251" s="93">
        <v>0</v>
      </c>
      <c r="H251" s="93">
        <v>0</v>
      </c>
      <c r="I251" s="93">
        <v>0</v>
      </c>
      <c r="J251" s="93">
        <v>0</v>
      </c>
    </row>
    <row r="252" spans="1:10" x14ac:dyDescent="0.3">
      <c r="A252" s="91" t="s">
        <v>84</v>
      </c>
      <c r="B252" s="91" t="s">
        <v>201</v>
      </c>
      <c r="C252" s="91" t="s">
        <v>357</v>
      </c>
      <c r="D252" s="93">
        <v>2388</v>
      </c>
      <c r="E252" s="93">
        <v>12</v>
      </c>
      <c r="F252" s="93">
        <v>0</v>
      </c>
      <c r="G252" s="93">
        <v>2376</v>
      </c>
      <c r="H252" s="93">
        <v>0</v>
      </c>
      <c r="I252" s="93">
        <v>0</v>
      </c>
      <c r="J252" s="93">
        <v>2376</v>
      </c>
    </row>
    <row r="253" spans="1:10" x14ac:dyDescent="0.3">
      <c r="A253" s="91" t="s">
        <v>85</v>
      </c>
      <c r="B253" s="91" t="s">
        <v>202</v>
      </c>
      <c r="C253" s="91" t="s">
        <v>357</v>
      </c>
      <c r="D253" s="93">
        <v>828</v>
      </c>
      <c r="E253" s="93">
        <v>12</v>
      </c>
      <c r="F253" s="93">
        <v>0</v>
      </c>
      <c r="G253" s="93">
        <v>816</v>
      </c>
      <c r="H253" s="93">
        <v>0</v>
      </c>
      <c r="I253" s="93">
        <v>0</v>
      </c>
      <c r="J253" s="93">
        <v>816</v>
      </c>
    </row>
    <row r="254" spans="1:10" x14ac:dyDescent="0.3">
      <c r="A254" s="91" t="s">
        <v>86</v>
      </c>
      <c r="B254" s="91" t="s">
        <v>203</v>
      </c>
      <c r="C254" s="91" t="s">
        <v>357</v>
      </c>
      <c r="D254" s="93">
        <v>1080</v>
      </c>
      <c r="E254" s="93">
        <v>12</v>
      </c>
      <c r="F254" s="93">
        <v>0</v>
      </c>
      <c r="G254" s="93">
        <v>1068</v>
      </c>
      <c r="H254" s="93">
        <v>0</v>
      </c>
      <c r="I254" s="93">
        <v>0</v>
      </c>
      <c r="J254" s="93">
        <v>1068</v>
      </c>
    </row>
    <row r="255" spans="1:10" x14ac:dyDescent="0.3">
      <c r="A255" s="91" t="s">
        <v>90</v>
      </c>
      <c r="B255" s="91" t="s">
        <v>711</v>
      </c>
      <c r="C255" s="91" t="s">
        <v>357</v>
      </c>
      <c r="D255" s="93">
        <v>648</v>
      </c>
      <c r="E255" s="93">
        <v>24</v>
      </c>
      <c r="F255" s="93">
        <v>0</v>
      </c>
      <c r="G255" s="93">
        <v>624</v>
      </c>
      <c r="H255" s="93">
        <v>0</v>
      </c>
      <c r="I255" s="93">
        <v>0</v>
      </c>
      <c r="J255" s="93">
        <v>624</v>
      </c>
    </row>
    <row r="256" spans="1:10" x14ac:dyDescent="0.3">
      <c r="A256" s="91" t="s">
        <v>91</v>
      </c>
      <c r="B256" s="91" t="s">
        <v>712</v>
      </c>
      <c r="C256" s="91" t="s">
        <v>357</v>
      </c>
      <c r="D256" s="93">
        <v>0</v>
      </c>
      <c r="E256" s="93">
        <v>228</v>
      </c>
      <c r="F256" s="93">
        <v>0</v>
      </c>
      <c r="G256" s="93">
        <v>-228</v>
      </c>
      <c r="H256" s="93">
        <v>0</v>
      </c>
      <c r="I256" s="93">
        <v>0</v>
      </c>
      <c r="J256" s="93">
        <v>-228</v>
      </c>
    </row>
    <row r="257" spans="1:10" x14ac:dyDescent="0.3">
      <c r="A257" s="91" t="s">
        <v>92</v>
      </c>
      <c r="B257" s="91" t="s">
        <v>713</v>
      </c>
      <c r="C257" s="91" t="s">
        <v>357</v>
      </c>
      <c r="D257" s="93">
        <v>0</v>
      </c>
      <c r="E257" s="93">
        <v>288</v>
      </c>
      <c r="F257" s="93">
        <v>0</v>
      </c>
      <c r="G257" s="93">
        <v>-288</v>
      </c>
      <c r="H257" s="93">
        <v>0</v>
      </c>
      <c r="I257" s="93">
        <v>0</v>
      </c>
      <c r="J257" s="93">
        <v>-288</v>
      </c>
    </row>
    <row r="258" spans="1:10" x14ac:dyDescent="0.3">
      <c r="A258" s="91" t="s">
        <v>93</v>
      </c>
      <c r="B258" s="91" t="s">
        <v>714</v>
      </c>
      <c r="C258" s="91" t="s">
        <v>357</v>
      </c>
      <c r="D258" s="93">
        <v>0</v>
      </c>
      <c r="E258" s="93">
        <v>276</v>
      </c>
      <c r="F258" s="93">
        <v>0</v>
      </c>
      <c r="G258" s="93">
        <v>-276</v>
      </c>
      <c r="H258" s="93">
        <v>0</v>
      </c>
      <c r="I258" s="93">
        <v>0</v>
      </c>
      <c r="J258" s="93">
        <v>-276</v>
      </c>
    </row>
    <row r="259" spans="1:10" x14ac:dyDescent="0.3">
      <c r="A259" s="91" t="s">
        <v>94</v>
      </c>
      <c r="B259" s="91" t="s">
        <v>715</v>
      </c>
      <c r="C259" s="91" t="s">
        <v>357</v>
      </c>
      <c r="D259" s="93">
        <v>0</v>
      </c>
      <c r="E259" s="93">
        <v>276</v>
      </c>
      <c r="F259" s="93">
        <v>0</v>
      </c>
      <c r="G259" s="93">
        <v>-276</v>
      </c>
      <c r="H259" s="93">
        <v>0</v>
      </c>
      <c r="I259" s="93">
        <v>0</v>
      </c>
      <c r="J259" s="93">
        <v>-276</v>
      </c>
    </row>
    <row r="260" spans="1:10" x14ac:dyDescent="0.3">
      <c r="A260" s="91" t="s">
        <v>95</v>
      </c>
      <c r="B260" s="91" t="s">
        <v>716</v>
      </c>
      <c r="C260" s="91" t="s">
        <v>357</v>
      </c>
      <c r="D260" s="93">
        <v>708</v>
      </c>
      <c r="E260" s="93">
        <v>12</v>
      </c>
      <c r="F260" s="93">
        <v>0</v>
      </c>
      <c r="G260" s="93">
        <v>696</v>
      </c>
      <c r="H260" s="93">
        <v>0</v>
      </c>
      <c r="I260" s="93">
        <v>0</v>
      </c>
      <c r="J260" s="93">
        <v>696</v>
      </c>
    </row>
    <row r="261" spans="1:10" x14ac:dyDescent="0.3">
      <c r="A261" s="91" t="s">
        <v>97</v>
      </c>
      <c r="B261" s="91" t="s">
        <v>717</v>
      </c>
      <c r="C261" s="91" t="s">
        <v>357</v>
      </c>
      <c r="D261" s="93">
        <v>0</v>
      </c>
      <c r="E261" s="93">
        <v>156</v>
      </c>
      <c r="F261" s="93">
        <v>0</v>
      </c>
      <c r="G261" s="93">
        <v>-156</v>
      </c>
      <c r="H261" s="93">
        <v>0</v>
      </c>
      <c r="I261" s="93">
        <v>0</v>
      </c>
      <c r="J261" s="93">
        <v>-156</v>
      </c>
    </row>
    <row r="262" spans="1:10" x14ac:dyDescent="0.3">
      <c r="A262" s="91" t="s">
        <v>100</v>
      </c>
      <c r="B262" s="91" t="s">
        <v>217</v>
      </c>
      <c r="C262" s="91" t="s">
        <v>357</v>
      </c>
      <c r="D262" s="93">
        <v>252</v>
      </c>
      <c r="E262" s="93">
        <v>36</v>
      </c>
      <c r="F262" s="93">
        <v>0</v>
      </c>
      <c r="G262" s="93">
        <v>216</v>
      </c>
      <c r="H262" s="93">
        <v>0</v>
      </c>
      <c r="I262" s="93">
        <v>0</v>
      </c>
      <c r="J262" s="93">
        <v>216</v>
      </c>
    </row>
    <row r="263" spans="1:10" x14ac:dyDescent="0.3">
      <c r="A263" s="91" t="s">
        <v>101</v>
      </c>
      <c r="B263" s="91" t="s">
        <v>218</v>
      </c>
      <c r="C263" s="91" t="s">
        <v>357</v>
      </c>
      <c r="D263" s="93">
        <v>48</v>
      </c>
      <c r="E263" s="93">
        <v>36</v>
      </c>
      <c r="F263" s="93">
        <v>0</v>
      </c>
      <c r="G263" s="93">
        <v>12</v>
      </c>
      <c r="H263" s="93">
        <v>0</v>
      </c>
      <c r="I263" s="93">
        <v>0</v>
      </c>
      <c r="J263" s="93">
        <v>12</v>
      </c>
    </row>
    <row r="264" spans="1:10" x14ac:dyDescent="0.3">
      <c r="A264" s="91" t="s">
        <v>102</v>
      </c>
      <c r="B264" s="91" t="s">
        <v>219</v>
      </c>
      <c r="C264" s="91" t="s">
        <v>357</v>
      </c>
      <c r="D264" s="93">
        <v>348</v>
      </c>
      <c r="E264" s="93">
        <v>36</v>
      </c>
      <c r="F264" s="93">
        <v>0</v>
      </c>
      <c r="G264" s="93">
        <v>312</v>
      </c>
      <c r="H264" s="93">
        <v>0</v>
      </c>
      <c r="I264" s="93">
        <v>0</v>
      </c>
      <c r="J264" s="93">
        <v>312</v>
      </c>
    </row>
    <row r="265" spans="1:10" x14ac:dyDescent="0.3">
      <c r="A265" s="91" t="s">
        <v>103</v>
      </c>
      <c r="B265" s="91" t="s">
        <v>220</v>
      </c>
      <c r="C265" s="91" t="s">
        <v>357</v>
      </c>
      <c r="D265" s="93">
        <v>768</v>
      </c>
      <c r="E265" s="93">
        <v>36</v>
      </c>
      <c r="F265" s="93">
        <v>0</v>
      </c>
      <c r="G265" s="93">
        <v>732</v>
      </c>
      <c r="H265" s="93">
        <v>0</v>
      </c>
      <c r="I265" s="93">
        <v>0</v>
      </c>
      <c r="J265" s="93">
        <v>732</v>
      </c>
    </row>
    <row r="266" spans="1:10" x14ac:dyDescent="0.3">
      <c r="A266" s="91" t="s">
        <v>104</v>
      </c>
      <c r="B266" s="91" t="s">
        <v>221</v>
      </c>
      <c r="C266" s="91" t="s">
        <v>357</v>
      </c>
      <c r="D266" s="93">
        <v>936</v>
      </c>
      <c r="E266" s="93">
        <v>48</v>
      </c>
      <c r="F266" s="93">
        <v>0</v>
      </c>
      <c r="G266" s="93">
        <v>888</v>
      </c>
      <c r="H266" s="93">
        <v>0</v>
      </c>
      <c r="I266" s="93">
        <v>0</v>
      </c>
      <c r="J266" s="93">
        <v>888</v>
      </c>
    </row>
    <row r="267" spans="1:10" x14ac:dyDescent="0.3">
      <c r="A267" s="91" t="s">
        <v>105</v>
      </c>
      <c r="B267" s="91" t="s">
        <v>222</v>
      </c>
      <c r="C267" s="91" t="s">
        <v>357</v>
      </c>
      <c r="D267" s="93">
        <v>636</v>
      </c>
      <c r="E267" s="93">
        <v>24</v>
      </c>
      <c r="F267" s="93">
        <v>0</v>
      </c>
      <c r="G267" s="93">
        <v>612</v>
      </c>
      <c r="H267" s="93">
        <v>0</v>
      </c>
      <c r="I267" s="93">
        <v>0</v>
      </c>
      <c r="J267" s="93">
        <v>612</v>
      </c>
    </row>
    <row r="268" spans="1:10" x14ac:dyDescent="0.3">
      <c r="A268" s="91" t="s">
        <v>106</v>
      </c>
      <c r="B268" s="91" t="s">
        <v>223</v>
      </c>
      <c r="C268" s="91" t="s">
        <v>357</v>
      </c>
      <c r="D268" s="93">
        <v>0</v>
      </c>
      <c r="E268" s="93">
        <v>84</v>
      </c>
      <c r="F268" s="93">
        <v>0</v>
      </c>
      <c r="G268" s="93">
        <v>-84</v>
      </c>
      <c r="H268" s="93">
        <v>0</v>
      </c>
      <c r="I268" s="93">
        <v>0</v>
      </c>
      <c r="J268" s="93">
        <v>-84</v>
      </c>
    </row>
    <row r="269" spans="1:10" x14ac:dyDescent="0.3">
      <c r="A269" s="91" t="s">
        <v>107</v>
      </c>
      <c r="B269" s="91" t="s">
        <v>224</v>
      </c>
      <c r="C269" s="91" t="s">
        <v>357</v>
      </c>
      <c r="D269" s="93">
        <v>288</v>
      </c>
      <c r="E269" s="93">
        <v>36</v>
      </c>
      <c r="F269" s="93">
        <v>0</v>
      </c>
      <c r="G269" s="93">
        <v>252</v>
      </c>
      <c r="H269" s="93">
        <v>0</v>
      </c>
      <c r="I269" s="93">
        <v>0</v>
      </c>
      <c r="J269" s="93">
        <v>252</v>
      </c>
    </row>
    <row r="270" spans="1:10" x14ac:dyDescent="0.3">
      <c r="A270" s="91" t="s">
        <v>109</v>
      </c>
      <c r="B270" s="91" t="s">
        <v>226</v>
      </c>
      <c r="C270" s="91" t="s">
        <v>357</v>
      </c>
      <c r="D270" s="93">
        <v>3660</v>
      </c>
      <c r="E270" s="93">
        <v>108</v>
      </c>
      <c r="F270" s="93">
        <v>0</v>
      </c>
      <c r="G270" s="93">
        <v>3552</v>
      </c>
      <c r="H270" s="93">
        <v>0</v>
      </c>
      <c r="I270" s="93">
        <v>0</v>
      </c>
      <c r="J270" s="93">
        <v>3552</v>
      </c>
    </row>
    <row r="271" spans="1:10" x14ac:dyDescent="0.3">
      <c r="A271" s="91" t="s">
        <v>111</v>
      </c>
      <c r="B271" s="91" t="s">
        <v>228</v>
      </c>
      <c r="C271" s="91" t="s">
        <v>357</v>
      </c>
      <c r="D271" s="93">
        <v>660</v>
      </c>
      <c r="E271" s="93">
        <v>24</v>
      </c>
      <c r="F271" s="93">
        <v>0</v>
      </c>
      <c r="G271" s="93">
        <v>636</v>
      </c>
      <c r="H271" s="93">
        <v>0</v>
      </c>
      <c r="I271" s="93">
        <v>0</v>
      </c>
      <c r="J271" s="93">
        <v>636</v>
      </c>
    </row>
    <row r="272" spans="1:10" x14ac:dyDescent="0.3">
      <c r="A272" s="91" t="s">
        <v>112</v>
      </c>
      <c r="B272" s="91" t="s">
        <v>229</v>
      </c>
      <c r="C272" s="91" t="s">
        <v>357</v>
      </c>
      <c r="D272" s="93">
        <v>588</v>
      </c>
      <c r="E272" s="93">
        <v>12</v>
      </c>
      <c r="F272" s="93">
        <v>0</v>
      </c>
      <c r="G272" s="93">
        <v>576</v>
      </c>
      <c r="H272" s="93">
        <v>0</v>
      </c>
      <c r="I272" s="93">
        <v>0</v>
      </c>
      <c r="J272" s="93">
        <v>576</v>
      </c>
    </row>
    <row r="273" spans="1:10" x14ac:dyDescent="0.3">
      <c r="A273" s="91" t="s">
        <v>113</v>
      </c>
      <c r="B273" s="91" t="s">
        <v>230</v>
      </c>
      <c r="C273" s="91" t="s">
        <v>357</v>
      </c>
      <c r="D273" s="93">
        <v>348</v>
      </c>
      <c r="E273" s="93">
        <v>0</v>
      </c>
      <c r="F273" s="93">
        <v>0</v>
      </c>
      <c r="G273" s="93">
        <v>348</v>
      </c>
      <c r="H273" s="93">
        <v>0</v>
      </c>
      <c r="I273" s="93">
        <v>0</v>
      </c>
      <c r="J273" s="93">
        <v>348</v>
      </c>
    </row>
    <row r="274" spans="1:10" x14ac:dyDescent="0.3">
      <c r="A274" s="91" t="s">
        <v>114</v>
      </c>
      <c r="B274" s="91" t="s">
        <v>231</v>
      </c>
      <c r="C274" s="91" t="s">
        <v>357</v>
      </c>
      <c r="D274" s="93">
        <v>696</v>
      </c>
      <c r="E274" s="93">
        <v>24</v>
      </c>
      <c r="F274" s="93">
        <v>0</v>
      </c>
      <c r="G274" s="93">
        <v>672</v>
      </c>
      <c r="H274" s="93">
        <v>0</v>
      </c>
      <c r="I274" s="93">
        <v>0</v>
      </c>
      <c r="J274" s="93">
        <v>672</v>
      </c>
    </row>
    <row r="275" spans="1:10" x14ac:dyDescent="0.3">
      <c r="A275" s="91" t="s">
        <v>115</v>
      </c>
      <c r="B275" s="91" t="s">
        <v>232</v>
      </c>
      <c r="C275" s="91" t="s">
        <v>357</v>
      </c>
      <c r="D275" s="93">
        <v>684</v>
      </c>
      <c r="E275" s="93">
        <v>24</v>
      </c>
      <c r="F275" s="93">
        <v>0</v>
      </c>
      <c r="G275" s="93">
        <v>660</v>
      </c>
      <c r="H275" s="93">
        <v>0</v>
      </c>
      <c r="I275" s="93">
        <v>0</v>
      </c>
      <c r="J275" s="93">
        <v>660</v>
      </c>
    </row>
    <row r="276" spans="1:10" x14ac:dyDescent="0.3">
      <c r="A276" s="91" t="s">
        <v>116</v>
      </c>
      <c r="B276" s="91" t="s">
        <v>233</v>
      </c>
      <c r="C276" s="91" t="s">
        <v>357</v>
      </c>
      <c r="D276" s="93">
        <v>648</v>
      </c>
      <c r="E276" s="93">
        <v>24</v>
      </c>
      <c r="F276" s="93">
        <v>0</v>
      </c>
      <c r="G276" s="93">
        <v>624</v>
      </c>
      <c r="H276" s="93">
        <v>0</v>
      </c>
      <c r="I276" s="93">
        <v>0</v>
      </c>
      <c r="J276" s="93">
        <v>624</v>
      </c>
    </row>
    <row r="277" spans="1:10" x14ac:dyDescent="0.3">
      <c r="A277" s="91" t="s">
        <v>117</v>
      </c>
      <c r="B277" s="91" t="s">
        <v>234</v>
      </c>
      <c r="C277" s="91" t="s">
        <v>357</v>
      </c>
      <c r="D277" s="93">
        <v>900</v>
      </c>
      <c r="E277" s="93">
        <v>24</v>
      </c>
      <c r="F277" s="93">
        <v>0</v>
      </c>
      <c r="G277" s="93">
        <v>876</v>
      </c>
      <c r="H277" s="93">
        <v>0</v>
      </c>
      <c r="I277" s="93">
        <v>0</v>
      </c>
      <c r="J277" s="93">
        <v>876</v>
      </c>
    </row>
    <row r="278" spans="1:10" x14ac:dyDescent="0.3">
      <c r="A278" s="91" t="s">
        <v>118</v>
      </c>
      <c r="B278" s="91" t="s">
        <v>235</v>
      </c>
      <c r="C278" s="91" t="s">
        <v>357</v>
      </c>
      <c r="D278" s="93">
        <v>732</v>
      </c>
      <c r="E278" s="93">
        <v>12</v>
      </c>
      <c r="F278" s="93">
        <v>0</v>
      </c>
      <c r="G278" s="93">
        <v>720</v>
      </c>
      <c r="H278" s="93">
        <v>0</v>
      </c>
      <c r="I278" s="93">
        <v>0</v>
      </c>
      <c r="J278" s="93">
        <v>720</v>
      </c>
    </row>
    <row r="279" spans="1:10" x14ac:dyDescent="0.3">
      <c r="A279" s="91" t="s">
        <v>119</v>
      </c>
      <c r="B279" s="91" t="s">
        <v>236</v>
      </c>
      <c r="C279" s="91" t="s">
        <v>357</v>
      </c>
      <c r="D279" s="93">
        <v>732</v>
      </c>
      <c r="E279" s="93">
        <v>24</v>
      </c>
      <c r="F279" s="93">
        <v>0</v>
      </c>
      <c r="G279" s="93">
        <v>708</v>
      </c>
      <c r="H279" s="93">
        <v>0</v>
      </c>
      <c r="I279" s="93">
        <v>0</v>
      </c>
      <c r="J279" s="93">
        <v>708</v>
      </c>
    </row>
    <row r="280" spans="1:10" x14ac:dyDescent="0.3">
      <c r="A280" s="91" t="s">
        <v>120</v>
      </c>
      <c r="B280" s="91" t="s">
        <v>237</v>
      </c>
      <c r="C280" s="91" t="s">
        <v>357</v>
      </c>
      <c r="D280" s="93">
        <v>888</v>
      </c>
      <c r="E280" s="93">
        <v>24</v>
      </c>
      <c r="F280" s="93">
        <v>0</v>
      </c>
      <c r="G280" s="93">
        <v>864</v>
      </c>
      <c r="H280" s="93">
        <v>0</v>
      </c>
      <c r="I280" s="93">
        <v>0</v>
      </c>
      <c r="J280" s="93">
        <v>864</v>
      </c>
    </row>
    <row r="281" spans="1:10" x14ac:dyDescent="0.3">
      <c r="A281" s="91" t="s">
        <v>718</v>
      </c>
      <c r="B281" s="91" t="s">
        <v>719</v>
      </c>
      <c r="C281" s="91" t="s">
        <v>357</v>
      </c>
      <c r="D281" s="93">
        <v>0</v>
      </c>
      <c r="E281" s="93">
        <v>0</v>
      </c>
      <c r="F281" s="93">
        <v>0</v>
      </c>
      <c r="G281" s="93">
        <v>0</v>
      </c>
      <c r="H281" s="93">
        <v>384</v>
      </c>
      <c r="I281" s="93">
        <v>0</v>
      </c>
      <c r="J281" s="93">
        <v>384</v>
      </c>
    </row>
    <row r="282" spans="1:10" x14ac:dyDescent="0.3">
      <c r="A282" s="92" t="s">
        <v>720</v>
      </c>
      <c r="B282" s="91" t="s">
        <v>721</v>
      </c>
      <c r="C282" s="94">
        <v>46205</v>
      </c>
      <c r="D282" s="95">
        <v>36494.693437499998</v>
      </c>
      <c r="E282" s="91" t="s">
        <v>722</v>
      </c>
      <c r="F282" s="96">
        <v>1</v>
      </c>
      <c r="G282" s="91" t="s">
        <v>723</v>
      </c>
      <c r="H282" s="96">
        <v>1</v>
      </c>
    </row>
    <row r="283" spans="1:10" ht="12.75" customHeight="1" x14ac:dyDescent="0.3"/>
    <row r="284" spans="1:10" ht="12.75" customHeight="1" x14ac:dyDescent="0.3"/>
    <row r="285" spans="1:10" ht="12.75" customHeight="1" x14ac:dyDescent="0.3"/>
    <row r="286" spans="1:10" ht="12.75" customHeight="1" x14ac:dyDescent="0.3"/>
    <row r="287" spans="1:10" ht="12.75" customHeight="1" x14ac:dyDescent="0.3"/>
    <row r="288" spans="1:10" ht="12.75" customHeight="1" x14ac:dyDescent="0.3"/>
    <row r="289" ht="12.75" customHeight="1" x14ac:dyDescent="0.3"/>
    <row r="290" ht="12.75" customHeight="1" x14ac:dyDescent="0.3"/>
    <row r="291" ht="12.75" customHeight="1" x14ac:dyDescent="0.3"/>
  </sheetData>
  <autoFilter ref="A1:J291" xr:uid="{C3CA5E3D-92DF-4620-A5E9-80370D780D6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F6C3-32EA-4FF0-9B16-BCB7431AACBE}">
  <dimension ref="A1:N284"/>
  <sheetViews>
    <sheetView topLeftCell="A193" workbookViewId="0">
      <selection activeCell="A211" sqref="A211:XFD211"/>
    </sheetView>
  </sheetViews>
  <sheetFormatPr baseColWidth="10" defaultColWidth="10" defaultRowHeight="14.4" x14ac:dyDescent="0.3"/>
  <cols>
    <col min="1" max="1" width="10" style="92" customWidth="1"/>
    <col min="2" max="16384" width="10" style="92"/>
  </cols>
  <sheetData>
    <row r="1" spans="1:13" x14ac:dyDescent="0.3">
      <c r="A1" s="91" t="s">
        <v>329</v>
      </c>
      <c r="B1" s="91" t="s">
        <v>330</v>
      </c>
      <c r="D1" s="91" t="s">
        <v>331</v>
      </c>
      <c r="F1" s="91" t="s">
        <v>332</v>
      </c>
      <c r="G1" s="91" t="s">
        <v>333</v>
      </c>
      <c r="H1" s="92" t="s">
        <v>334</v>
      </c>
      <c r="J1" s="91" t="s">
        <v>332</v>
      </c>
      <c r="K1" s="91" t="s">
        <v>335</v>
      </c>
      <c r="L1" s="92" t="s">
        <v>336</v>
      </c>
      <c r="M1" s="91" t="s">
        <v>332</v>
      </c>
    </row>
    <row r="2" spans="1:13" x14ac:dyDescent="0.3">
      <c r="D2" s="97">
        <v>1</v>
      </c>
      <c r="G2" s="91" t="s">
        <v>724</v>
      </c>
    </row>
    <row r="3" spans="1:13" x14ac:dyDescent="0.3">
      <c r="A3" s="91" t="s">
        <v>725</v>
      </c>
      <c r="B3" s="91" t="s">
        <v>726</v>
      </c>
      <c r="D3" s="91" t="s">
        <v>357</v>
      </c>
      <c r="F3" s="98">
        <v>0</v>
      </c>
      <c r="G3" s="98">
        <v>96</v>
      </c>
      <c r="H3" s="98">
        <v>0</v>
      </c>
      <c r="J3" s="98">
        <v>-96</v>
      </c>
      <c r="K3" s="98">
        <v>0</v>
      </c>
      <c r="L3" s="98">
        <v>0</v>
      </c>
      <c r="M3" s="98">
        <v>-96</v>
      </c>
    </row>
    <row r="4" spans="1:13" x14ac:dyDescent="0.3">
      <c r="A4" s="91" t="s">
        <v>727</v>
      </c>
      <c r="B4" s="91" t="s">
        <v>728</v>
      </c>
      <c r="D4" s="91" t="s">
        <v>357</v>
      </c>
      <c r="F4" s="98">
        <v>0</v>
      </c>
      <c r="G4" s="98">
        <v>96</v>
      </c>
      <c r="H4" s="98">
        <v>0</v>
      </c>
      <c r="J4" s="98">
        <v>-96</v>
      </c>
      <c r="K4" s="98">
        <v>0</v>
      </c>
      <c r="L4" s="98">
        <v>0</v>
      </c>
      <c r="M4" s="98">
        <v>-96</v>
      </c>
    </row>
    <row r="5" spans="1:13" x14ac:dyDescent="0.3">
      <c r="A5" s="91" t="s">
        <v>11</v>
      </c>
      <c r="B5" s="91" t="s">
        <v>729</v>
      </c>
      <c r="D5" s="91" t="s">
        <v>357</v>
      </c>
      <c r="F5" s="98">
        <v>72</v>
      </c>
      <c r="G5" s="98">
        <v>0</v>
      </c>
      <c r="H5" s="98">
        <v>0</v>
      </c>
      <c r="J5" s="98">
        <v>72</v>
      </c>
      <c r="K5" s="98">
        <v>0</v>
      </c>
      <c r="L5" s="98">
        <v>0</v>
      </c>
      <c r="M5" s="98">
        <v>72</v>
      </c>
    </row>
    <row r="6" spans="1:13" x14ac:dyDescent="0.3">
      <c r="A6" s="91" t="s">
        <v>730</v>
      </c>
      <c r="B6" s="91" t="s">
        <v>128</v>
      </c>
      <c r="D6" s="91" t="s">
        <v>357</v>
      </c>
      <c r="F6" s="98">
        <v>0</v>
      </c>
      <c r="G6" s="98">
        <v>24</v>
      </c>
      <c r="H6" s="98">
        <v>0</v>
      </c>
      <c r="J6" s="98">
        <v>-24</v>
      </c>
      <c r="K6" s="98">
        <v>0</v>
      </c>
      <c r="L6" s="98">
        <v>0</v>
      </c>
      <c r="M6" s="98">
        <v>-24</v>
      </c>
    </row>
    <row r="7" spans="1:13" x14ac:dyDescent="0.3">
      <c r="A7" s="91" t="s">
        <v>731</v>
      </c>
      <c r="B7" s="91" t="s">
        <v>732</v>
      </c>
      <c r="D7" s="91" t="s">
        <v>357</v>
      </c>
      <c r="F7" s="98">
        <v>816</v>
      </c>
      <c r="G7" s="98">
        <v>24</v>
      </c>
      <c r="H7" s="98">
        <v>0</v>
      </c>
      <c r="J7" s="98">
        <v>792</v>
      </c>
      <c r="K7" s="98">
        <v>456</v>
      </c>
      <c r="L7" s="98">
        <v>0</v>
      </c>
      <c r="M7" s="98">
        <v>1248</v>
      </c>
    </row>
    <row r="8" spans="1:13" x14ac:dyDescent="0.3">
      <c r="A8" s="91" t="s">
        <v>733</v>
      </c>
      <c r="B8" s="91" t="s">
        <v>734</v>
      </c>
      <c r="D8" s="91" t="s">
        <v>357</v>
      </c>
      <c r="F8" s="98">
        <v>586</v>
      </c>
      <c r="G8" s="98">
        <v>0</v>
      </c>
      <c r="H8" s="98">
        <v>0</v>
      </c>
      <c r="J8" s="98">
        <v>586</v>
      </c>
      <c r="K8" s="98">
        <v>0</v>
      </c>
      <c r="L8" s="98">
        <v>0</v>
      </c>
      <c r="M8" s="98">
        <v>586</v>
      </c>
    </row>
    <row r="9" spans="1:13" x14ac:dyDescent="0.3">
      <c r="A9" s="91" t="s">
        <v>735</v>
      </c>
      <c r="B9" s="91" t="s">
        <v>736</v>
      </c>
      <c r="D9" s="91" t="s">
        <v>357</v>
      </c>
      <c r="F9" s="98">
        <v>48</v>
      </c>
      <c r="G9" s="98">
        <v>12</v>
      </c>
      <c r="H9" s="98">
        <v>0</v>
      </c>
      <c r="J9" s="98">
        <v>36</v>
      </c>
      <c r="K9" s="98">
        <v>0</v>
      </c>
      <c r="L9" s="98">
        <v>0</v>
      </c>
      <c r="M9" s="98">
        <v>36</v>
      </c>
    </row>
    <row r="10" spans="1:13" x14ac:dyDescent="0.3">
      <c r="A10" s="91" t="s">
        <v>737</v>
      </c>
      <c r="B10" s="91" t="s">
        <v>738</v>
      </c>
      <c r="D10" s="91" t="s">
        <v>357</v>
      </c>
      <c r="F10" s="98">
        <v>1272</v>
      </c>
      <c r="G10" s="98">
        <v>36</v>
      </c>
      <c r="H10" s="98">
        <v>0</v>
      </c>
      <c r="J10" s="98">
        <v>1236</v>
      </c>
      <c r="K10" s="98">
        <v>0</v>
      </c>
      <c r="L10" s="98">
        <v>0</v>
      </c>
      <c r="M10" s="98">
        <v>1236</v>
      </c>
    </row>
    <row r="11" spans="1:13" x14ac:dyDescent="0.3">
      <c r="A11" s="91" t="s">
        <v>739</v>
      </c>
      <c r="B11" s="91" t="s">
        <v>740</v>
      </c>
      <c r="D11" s="91" t="s">
        <v>357</v>
      </c>
      <c r="F11" s="98">
        <v>252</v>
      </c>
      <c r="G11" s="98">
        <v>132</v>
      </c>
      <c r="H11" s="98">
        <v>0</v>
      </c>
      <c r="J11" s="98">
        <v>120</v>
      </c>
      <c r="K11" s="98">
        <v>24</v>
      </c>
      <c r="L11" s="98">
        <v>0</v>
      </c>
      <c r="M11" s="98">
        <v>144</v>
      </c>
    </row>
    <row r="12" spans="1:13" x14ac:dyDescent="0.3">
      <c r="A12" s="91" t="s">
        <v>741</v>
      </c>
      <c r="B12" s="91" t="s">
        <v>742</v>
      </c>
      <c r="D12" s="91" t="s">
        <v>357</v>
      </c>
      <c r="F12" s="98">
        <v>0</v>
      </c>
      <c r="G12" s="98">
        <v>0</v>
      </c>
      <c r="H12" s="98">
        <v>0</v>
      </c>
      <c r="J12" s="98">
        <v>0</v>
      </c>
      <c r="K12" s="98">
        <v>120</v>
      </c>
      <c r="L12" s="98">
        <v>0</v>
      </c>
      <c r="M12" s="98">
        <v>120</v>
      </c>
    </row>
    <row r="13" spans="1:13" x14ac:dyDescent="0.3">
      <c r="A13" s="91" t="s">
        <v>743</v>
      </c>
      <c r="B13" s="91" t="s">
        <v>744</v>
      </c>
      <c r="D13" s="91" t="s">
        <v>357</v>
      </c>
      <c r="F13" s="98">
        <v>0</v>
      </c>
      <c r="G13" s="98">
        <v>24</v>
      </c>
      <c r="H13" s="98">
        <v>0</v>
      </c>
      <c r="J13" s="98">
        <v>-24</v>
      </c>
      <c r="K13" s="98">
        <v>0</v>
      </c>
      <c r="L13" s="98">
        <v>0</v>
      </c>
      <c r="M13" s="98">
        <v>-24</v>
      </c>
    </row>
    <row r="14" spans="1:13" x14ac:dyDescent="0.3">
      <c r="A14" s="91" t="s">
        <v>745</v>
      </c>
      <c r="B14" s="91" t="s">
        <v>746</v>
      </c>
      <c r="D14" s="91" t="s">
        <v>357</v>
      </c>
      <c r="F14" s="98">
        <v>0</v>
      </c>
      <c r="G14" s="98">
        <v>24</v>
      </c>
      <c r="H14" s="98">
        <v>0</v>
      </c>
      <c r="J14" s="98">
        <v>-24</v>
      </c>
      <c r="K14" s="98">
        <v>0</v>
      </c>
      <c r="L14" s="98">
        <v>0</v>
      </c>
      <c r="M14" s="98">
        <v>-24</v>
      </c>
    </row>
    <row r="15" spans="1:13" x14ac:dyDescent="0.3">
      <c r="A15" s="91" t="s">
        <v>747</v>
      </c>
      <c r="B15" s="91" t="s">
        <v>748</v>
      </c>
      <c r="D15" s="91" t="s">
        <v>356</v>
      </c>
      <c r="F15" s="98">
        <v>2475</v>
      </c>
      <c r="G15" s="98">
        <v>0</v>
      </c>
      <c r="H15" s="98">
        <v>0</v>
      </c>
      <c r="J15" s="98">
        <v>2475</v>
      </c>
      <c r="K15" s="98">
        <v>0</v>
      </c>
      <c r="L15" s="98">
        <v>0</v>
      </c>
      <c r="M15" s="98">
        <v>2475</v>
      </c>
    </row>
    <row r="16" spans="1:13" x14ac:dyDescent="0.3">
      <c r="A16" s="91" t="s">
        <v>749</v>
      </c>
      <c r="B16" s="91" t="s">
        <v>367</v>
      </c>
      <c r="D16" s="91" t="s">
        <v>357</v>
      </c>
      <c r="F16" s="98">
        <v>0</v>
      </c>
      <c r="G16" s="98">
        <v>120</v>
      </c>
      <c r="H16" s="98">
        <v>0</v>
      </c>
      <c r="J16" s="98">
        <v>-120</v>
      </c>
      <c r="K16" s="98">
        <v>0</v>
      </c>
      <c r="L16" s="98">
        <v>0</v>
      </c>
      <c r="M16" s="98">
        <v>-120</v>
      </c>
    </row>
    <row r="17" spans="1:13" x14ac:dyDescent="0.3">
      <c r="A17" s="91" t="s">
        <v>750</v>
      </c>
      <c r="B17" s="91" t="s">
        <v>751</v>
      </c>
      <c r="D17" s="91" t="s">
        <v>357</v>
      </c>
      <c r="F17" s="98">
        <v>1644</v>
      </c>
      <c r="G17" s="98">
        <v>360</v>
      </c>
      <c r="H17" s="98">
        <v>0</v>
      </c>
      <c r="J17" s="98">
        <v>1284</v>
      </c>
      <c r="K17" s="98">
        <v>600</v>
      </c>
      <c r="L17" s="98">
        <v>0</v>
      </c>
      <c r="M17" s="98">
        <v>1884</v>
      </c>
    </row>
    <row r="18" spans="1:13" x14ac:dyDescent="0.3">
      <c r="A18" s="91" t="s">
        <v>752</v>
      </c>
      <c r="B18" s="91" t="s">
        <v>753</v>
      </c>
      <c r="D18" s="91" t="s">
        <v>357</v>
      </c>
      <c r="F18" s="98">
        <v>4704</v>
      </c>
      <c r="G18" s="98">
        <v>408</v>
      </c>
      <c r="H18" s="98">
        <v>0</v>
      </c>
      <c r="J18" s="98">
        <v>4296</v>
      </c>
      <c r="K18" s="98">
        <v>0</v>
      </c>
      <c r="L18" s="98">
        <v>0</v>
      </c>
      <c r="M18" s="98">
        <v>4296</v>
      </c>
    </row>
    <row r="19" spans="1:13" x14ac:dyDescent="0.3">
      <c r="A19" s="91" t="s">
        <v>754</v>
      </c>
      <c r="B19" s="91" t="s">
        <v>697</v>
      </c>
      <c r="D19" s="91" t="s">
        <v>357</v>
      </c>
      <c r="F19" s="98">
        <v>1</v>
      </c>
      <c r="G19" s="98">
        <v>0</v>
      </c>
      <c r="H19" s="98">
        <v>0</v>
      </c>
      <c r="J19" s="98">
        <v>1</v>
      </c>
      <c r="K19" s="98">
        <v>0</v>
      </c>
      <c r="L19" s="98">
        <v>0</v>
      </c>
      <c r="M19" s="98">
        <v>1</v>
      </c>
    </row>
    <row r="20" spans="1:13" x14ac:dyDescent="0.3">
      <c r="A20" s="91" t="s">
        <v>755</v>
      </c>
      <c r="B20" s="91" t="s">
        <v>130</v>
      </c>
      <c r="D20" s="91" t="s">
        <v>357</v>
      </c>
      <c r="F20" s="98">
        <v>1428</v>
      </c>
      <c r="G20" s="98">
        <v>0</v>
      </c>
      <c r="H20" s="98">
        <v>0</v>
      </c>
      <c r="J20" s="98">
        <v>1428</v>
      </c>
      <c r="K20" s="98">
        <v>0</v>
      </c>
      <c r="L20" s="98">
        <v>0</v>
      </c>
      <c r="M20" s="98">
        <v>1428</v>
      </c>
    </row>
    <row r="21" spans="1:13" x14ac:dyDescent="0.3">
      <c r="A21" s="91" t="s">
        <v>756</v>
      </c>
      <c r="B21" s="91" t="s">
        <v>131</v>
      </c>
      <c r="D21" s="91" t="s">
        <v>357</v>
      </c>
      <c r="F21" s="98">
        <v>1080</v>
      </c>
      <c r="G21" s="98">
        <v>0</v>
      </c>
      <c r="H21" s="98">
        <v>0</v>
      </c>
      <c r="J21" s="98">
        <v>1080</v>
      </c>
      <c r="K21" s="98">
        <v>0</v>
      </c>
      <c r="L21" s="98">
        <v>0</v>
      </c>
      <c r="M21" s="98">
        <v>1080</v>
      </c>
    </row>
    <row r="22" spans="1:13" x14ac:dyDescent="0.3">
      <c r="A22" s="91" t="s">
        <v>757</v>
      </c>
      <c r="B22" s="91" t="s">
        <v>758</v>
      </c>
      <c r="D22" s="91" t="s">
        <v>357</v>
      </c>
      <c r="F22" s="98">
        <v>0</v>
      </c>
      <c r="G22" s="98">
        <v>0</v>
      </c>
      <c r="H22" s="98">
        <v>0</v>
      </c>
      <c r="J22" s="98">
        <v>0</v>
      </c>
      <c r="K22" s="98">
        <v>3600</v>
      </c>
      <c r="L22" s="98">
        <v>0</v>
      </c>
      <c r="M22" s="98">
        <v>3600</v>
      </c>
    </row>
    <row r="23" spans="1:13" x14ac:dyDescent="0.3">
      <c r="A23" s="91" t="s">
        <v>759</v>
      </c>
      <c r="B23" s="91" t="s">
        <v>760</v>
      </c>
      <c r="D23" s="91" t="s">
        <v>357</v>
      </c>
      <c r="F23" s="98">
        <v>0</v>
      </c>
      <c r="G23" s="98">
        <v>0</v>
      </c>
      <c r="H23" s="98">
        <v>0</v>
      </c>
      <c r="J23" s="98">
        <v>0</v>
      </c>
      <c r="K23" s="98">
        <v>480</v>
      </c>
      <c r="L23" s="98">
        <v>0</v>
      </c>
      <c r="M23" s="98">
        <v>480</v>
      </c>
    </row>
    <row r="24" spans="1:13" x14ac:dyDescent="0.3">
      <c r="A24" s="91" t="s">
        <v>761</v>
      </c>
      <c r="B24" s="91" t="s">
        <v>762</v>
      </c>
      <c r="D24" s="91" t="s">
        <v>357</v>
      </c>
      <c r="F24" s="98">
        <v>0</v>
      </c>
      <c r="G24" s="98">
        <v>0</v>
      </c>
      <c r="H24" s="98">
        <v>0</v>
      </c>
      <c r="J24" s="98">
        <v>0</v>
      </c>
      <c r="K24" s="98">
        <v>348</v>
      </c>
      <c r="L24" s="98">
        <v>0</v>
      </c>
      <c r="M24" s="98">
        <v>348</v>
      </c>
    </row>
    <row r="25" spans="1:13" x14ac:dyDescent="0.3">
      <c r="A25" s="91" t="s">
        <v>763</v>
      </c>
      <c r="B25" s="91" t="s">
        <v>764</v>
      </c>
      <c r="D25" s="91" t="s">
        <v>357</v>
      </c>
      <c r="F25" s="98">
        <v>0</v>
      </c>
      <c r="G25" s="98">
        <v>0</v>
      </c>
      <c r="H25" s="98">
        <v>0</v>
      </c>
      <c r="J25" s="98">
        <v>0</v>
      </c>
      <c r="K25" s="98">
        <v>3408</v>
      </c>
      <c r="L25" s="98">
        <v>0</v>
      </c>
      <c r="M25" s="98">
        <v>3408</v>
      </c>
    </row>
    <row r="26" spans="1:13" x14ac:dyDescent="0.3">
      <c r="A26" s="91" t="s">
        <v>765</v>
      </c>
      <c r="B26" s="91" t="s">
        <v>766</v>
      </c>
      <c r="D26" s="91" t="s">
        <v>357</v>
      </c>
      <c r="F26" s="98">
        <v>9552</v>
      </c>
      <c r="G26" s="98">
        <v>0</v>
      </c>
      <c r="H26" s="98">
        <v>0</v>
      </c>
      <c r="J26" s="98">
        <v>9552</v>
      </c>
      <c r="K26" s="98">
        <v>0</v>
      </c>
      <c r="L26" s="98">
        <v>0</v>
      </c>
      <c r="M26" s="98">
        <v>9552</v>
      </c>
    </row>
    <row r="27" spans="1:13" x14ac:dyDescent="0.3">
      <c r="A27" s="91" t="s">
        <v>767</v>
      </c>
      <c r="B27" s="91" t="s">
        <v>768</v>
      </c>
      <c r="D27" s="91" t="s">
        <v>357</v>
      </c>
      <c r="F27" s="98">
        <v>0</v>
      </c>
      <c r="G27" s="98">
        <v>0</v>
      </c>
      <c r="H27" s="98">
        <v>0</v>
      </c>
      <c r="J27" s="98">
        <v>0</v>
      </c>
      <c r="K27" s="98">
        <v>108</v>
      </c>
      <c r="L27" s="98">
        <v>0</v>
      </c>
      <c r="M27" s="98">
        <v>108</v>
      </c>
    </row>
    <row r="28" spans="1:13" x14ac:dyDescent="0.3">
      <c r="A28" s="91" t="s">
        <v>769</v>
      </c>
      <c r="B28" s="91" t="s">
        <v>461</v>
      </c>
      <c r="D28" s="91" t="s">
        <v>357</v>
      </c>
      <c r="F28" s="98">
        <v>32000</v>
      </c>
      <c r="G28" s="98">
        <v>0</v>
      </c>
      <c r="H28" s="98">
        <v>0</v>
      </c>
      <c r="J28" s="98">
        <v>32000</v>
      </c>
      <c r="K28" s="98">
        <v>0</v>
      </c>
      <c r="L28" s="98">
        <v>0</v>
      </c>
      <c r="M28" s="98">
        <v>32000</v>
      </c>
    </row>
    <row r="29" spans="1:13" x14ac:dyDescent="0.3">
      <c r="A29" s="91" t="s">
        <v>770</v>
      </c>
      <c r="B29" s="91" t="s">
        <v>669</v>
      </c>
      <c r="D29" s="91" t="s">
        <v>357</v>
      </c>
      <c r="F29" s="98">
        <v>12000</v>
      </c>
      <c r="G29" s="98">
        <v>0</v>
      </c>
      <c r="H29" s="98">
        <v>0</v>
      </c>
      <c r="J29" s="98">
        <v>12000</v>
      </c>
      <c r="K29" s="98">
        <v>0</v>
      </c>
      <c r="L29" s="98">
        <v>0</v>
      </c>
      <c r="M29" s="98">
        <v>12000</v>
      </c>
    </row>
    <row r="30" spans="1:13" x14ac:dyDescent="0.3">
      <c r="A30" s="91" t="s">
        <v>771</v>
      </c>
      <c r="B30" s="91" t="s">
        <v>772</v>
      </c>
      <c r="D30" s="91" t="s">
        <v>357</v>
      </c>
      <c r="F30" s="98">
        <v>0</v>
      </c>
      <c r="G30" s="98">
        <v>0</v>
      </c>
      <c r="H30" s="98">
        <v>0</v>
      </c>
      <c r="J30" s="98">
        <v>0</v>
      </c>
      <c r="K30" s="98">
        <v>12</v>
      </c>
      <c r="L30" s="98">
        <v>0</v>
      </c>
      <c r="M30" s="98">
        <v>12</v>
      </c>
    </row>
    <row r="31" spans="1:13" x14ac:dyDescent="0.3">
      <c r="A31" s="91" t="s">
        <v>773</v>
      </c>
      <c r="B31" s="91" t="s">
        <v>774</v>
      </c>
      <c r="D31" s="91" t="s">
        <v>357</v>
      </c>
      <c r="F31" s="98">
        <v>0</v>
      </c>
      <c r="G31" s="98">
        <v>0</v>
      </c>
      <c r="H31" s="98">
        <v>0</v>
      </c>
      <c r="J31" s="98">
        <v>0</v>
      </c>
      <c r="K31" s="98">
        <v>168</v>
      </c>
      <c r="L31" s="98">
        <v>0</v>
      </c>
      <c r="M31" s="98">
        <v>168</v>
      </c>
    </row>
    <row r="32" spans="1:13" x14ac:dyDescent="0.3">
      <c r="A32" s="91" t="s">
        <v>775</v>
      </c>
      <c r="B32" s="91" t="s">
        <v>411</v>
      </c>
      <c r="D32" s="91" t="s">
        <v>357</v>
      </c>
      <c r="F32" s="98">
        <v>0</v>
      </c>
      <c r="G32" s="98">
        <v>48</v>
      </c>
      <c r="H32" s="98">
        <v>0</v>
      </c>
      <c r="J32" s="98">
        <v>-48</v>
      </c>
      <c r="K32" s="98">
        <v>0</v>
      </c>
      <c r="L32" s="98">
        <v>0</v>
      </c>
      <c r="M32" s="98">
        <v>-48</v>
      </c>
    </row>
    <row r="33" spans="1:13" x14ac:dyDescent="0.3">
      <c r="A33" s="91" t="s">
        <v>776</v>
      </c>
      <c r="B33" s="91" t="s">
        <v>777</v>
      </c>
      <c r="D33" s="91" t="s">
        <v>357</v>
      </c>
      <c r="F33" s="98">
        <v>0</v>
      </c>
      <c r="G33" s="98">
        <v>72</v>
      </c>
      <c r="H33" s="98">
        <v>0</v>
      </c>
      <c r="J33" s="98">
        <v>-72</v>
      </c>
      <c r="K33" s="98">
        <v>0</v>
      </c>
      <c r="L33" s="98">
        <v>0</v>
      </c>
      <c r="M33" s="98">
        <v>-72</v>
      </c>
    </row>
    <row r="34" spans="1:13" x14ac:dyDescent="0.3">
      <c r="A34" s="91" t="s">
        <v>778</v>
      </c>
      <c r="B34" s="91" t="s">
        <v>779</v>
      </c>
      <c r="D34" s="91" t="s">
        <v>357</v>
      </c>
      <c r="F34" s="98">
        <v>0</v>
      </c>
      <c r="G34" s="98">
        <v>24</v>
      </c>
      <c r="H34" s="98">
        <v>0</v>
      </c>
      <c r="J34" s="98">
        <v>-24</v>
      </c>
      <c r="K34" s="98">
        <v>0</v>
      </c>
      <c r="L34" s="98">
        <v>0</v>
      </c>
      <c r="M34" s="98">
        <v>-24</v>
      </c>
    </row>
    <row r="35" spans="1:13" x14ac:dyDescent="0.3">
      <c r="A35" s="91" t="s">
        <v>780</v>
      </c>
      <c r="B35" s="91" t="s">
        <v>781</v>
      </c>
      <c r="D35" s="91" t="s">
        <v>357</v>
      </c>
      <c r="F35" s="98">
        <v>0</v>
      </c>
      <c r="G35" s="98">
        <v>72</v>
      </c>
      <c r="H35" s="98">
        <v>0</v>
      </c>
      <c r="J35" s="98">
        <v>-72</v>
      </c>
      <c r="K35" s="98">
        <v>0</v>
      </c>
      <c r="L35" s="98">
        <v>0</v>
      </c>
      <c r="M35" s="98">
        <v>-72</v>
      </c>
    </row>
    <row r="36" spans="1:13" x14ac:dyDescent="0.3">
      <c r="A36" s="91" t="s">
        <v>782</v>
      </c>
      <c r="B36" s="91" t="s">
        <v>783</v>
      </c>
      <c r="D36" s="91" t="s">
        <v>357</v>
      </c>
      <c r="F36" s="98">
        <v>0</v>
      </c>
      <c r="G36" s="98">
        <v>72</v>
      </c>
      <c r="H36" s="98">
        <v>0</v>
      </c>
      <c r="J36" s="98">
        <v>-72</v>
      </c>
      <c r="K36" s="98">
        <v>0</v>
      </c>
      <c r="L36" s="98">
        <v>0</v>
      </c>
      <c r="M36" s="98">
        <v>-72</v>
      </c>
    </row>
    <row r="37" spans="1:13" x14ac:dyDescent="0.3">
      <c r="A37" s="91" t="s">
        <v>784</v>
      </c>
      <c r="B37" s="91" t="s">
        <v>785</v>
      </c>
      <c r="D37" s="91" t="s">
        <v>357</v>
      </c>
      <c r="F37" s="98">
        <v>0</v>
      </c>
      <c r="G37" s="98">
        <v>72</v>
      </c>
      <c r="H37" s="98">
        <v>0</v>
      </c>
      <c r="J37" s="98">
        <v>-72</v>
      </c>
      <c r="K37" s="98">
        <v>0</v>
      </c>
      <c r="L37" s="98">
        <v>0</v>
      </c>
      <c r="M37" s="98">
        <v>-72</v>
      </c>
    </row>
    <row r="38" spans="1:13" x14ac:dyDescent="0.3">
      <c r="A38" s="91" t="s">
        <v>786</v>
      </c>
      <c r="B38" s="91" t="s">
        <v>787</v>
      </c>
      <c r="D38" s="91" t="s">
        <v>357</v>
      </c>
      <c r="F38" s="98">
        <v>228</v>
      </c>
      <c r="G38" s="98">
        <v>48</v>
      </c>
      <c r="H38" s="98">
        <v>0</v>
      </c>
      <c r="J38" s="98">
        <v>180</v>
      </c>
      <c r="K38" s="98">
        <v>0</v>
      </c>
      <c r="L38" s="98">
        <v>0</v>
      </c>
      <c r="M38" s="98">
        <v>180</v>
      </c>
    </row>
    <row r="39" spans="1:13" x14ac:dyDescent="0.3">
      <c r="A39" s="91" t="s">
        <v>788</v>
      </c>
      <c r="B39" s="91" t="s">
        <v>789</v>
      </c>
      <c r="D39" s="91" t="s">
        <v>357</v>
      </c>
      <c r="F39" s="98">
        <v>528</v>
      </c>
      <c r="G39" s="98">
        <v>96</v>
      </c>
      <c r="H39" s="98">
        <v>0</v>
      </c>
      <c r="J39" s="98">
        <v>432</v>
      </c>
      <c r="K39" s="98">
        <v>0</v>
      </c>
      <c r="L39" s="98">
        <v>0</v>
      </c>
      <c r="M39" s="98">
        <v>432</v>
      </c>
    </row>
    <row r="40" spans="1:13" x14ac:dyDescent="0.3">
      <c r="A40" s="91" t="s">
        <v>790</v>
      </c>
      <c r="B40" s="91" t="s">
        <v>791</v>
      </c>
      <c r="D40" s="91" t="s">
        <v>357</v>
      </c>
      <c r="F40" s="98">
        <v>0</v>
      </c>
      <c r="G40" s="98">
        <v>48</v>
      </c>
      <c r="H40" s="98">
        <v>0</v>
      </c>
      <c r="J40" s="98">
        <v>-48</v>
      </c>
      <c r="K40" s="98">
        <v>0</v>
      </c>
      <c r="L40" s="98">
        <v>0</v>
      </c>
      <c r="M40" s="98">
        <v>-48</v>
      </c>
    </row>
    <row r="41" spans="1:13" x14ac:dyDescent="0.3">
      <c r="A41" s="91" t="s">
        <v>792</v>
      </c>
      <c r="B41" s="91" t="s">
        <v>793</v>
      </c>
      <c r="D41" s="91" t="s">
        <v>357</v>
      </c>
      <c r="F41" s="98">
        <v>0</v>
      </c>
      <c r="G41" s="98">
        <v>24</v>
      </c>
      <c r="H41" s="98">
        <v>0</v>
      </c>
      <c r="J41" s="98">
        <v>-24</v>
      </c>
      <c r="K41" s="98">
        <v>0</v>
      </c>
      <c r="L41" s="98">
        <v>0</v>
      </c>
      <c r="M41" s="98">
        <v>-24</v>
      </c>
    </row>
    <row r="42" spans="1:13" x14ac:dyDescent="0.3">
      <c r="A42" s="91" t="s">
        <v>794</v>
      </c>
      <c r="B42" s="91" t="s">
        <v>795</v>
      </c>
      <c r="D42" s="91" t="s">
        <v>357</v>
      </c>
      <c r="F42" s="98">
        <v>0</v>
      </c>
      <c r="G42" s="98">
        <v>48</v>
      </c>
      <c r="H42" s="98">
        <v>0</v>
      </c>
      <c r="J42" s="98">
        <v>-48</v>
      </c>
      <c r="K42" s="98">
        <v>0</v>
      </c>
      <c r="L42" s="98">
        <v>0</v>
      </c>
      <c r="M42" s="98">
        <v>-48</v>
      </c>
    </row>
    <row r="43" spans="1:13" x14ac:dyDescent="0.3">
      <c r="A43" s="91" t="s">
        <v>796</v>
      </c>
      <c r="B43" s="91" t="s">
        <v>797</v>
      </c>
      <c r="D43" s="91" t="s">
        <v>357</v>
      </c>
      <c r="F43" s="98">
        <v>0</v>
      </c>
      <c r="G43" s="98">
        <v>48</v>
      </c>
      <c r="H43" s="98">
        <v>0</v>
      </c>
      <c r="J43" s="98">
        <v>-48</v>
      </c>
      <c r="K43" s="98">
        <v>0</v>
      </c>
      <c r="L43" s="98">
        <v>0</v>
      </c>
      <c r="M43" s="98">
        <v>-48</v>
      </c>
    </row>
    <row r="44" spans="1:13" x14ac:dyDescent="0.3">
      <c r="A44" s="91" t="s">
        <v>798</v>
      </c>
      <c r="B44" s="91" t="s">
        <v>799</v>
      </c>
      <c r="D44" s="91" t="s">
        <v>357</v>
      </c>
      <c r="F44" s="98">
        <v>0</v>
      </c>
      <c r="G44" s="98">
        <v>24</v>
      </c>
      <c r="H44" s="98">
        <v>0</v>
      </c>
      <c r="J44" s="98">
        <v>-24</v>
      </c>
      <c r="K44" s="98">
        <v>0</v>
      </c>
      <c r="L44" s="98">
        <v>0</v>
      </c>
      <c r="M44" s="98">
        <v>-24</v>
      </c>
    </row>
    <row r="45" spans="1:13" x14ac:dyDescent="0.3">
      <c r="A45" s="91" t="s">
        <v>800</v>
      </c>
      <c r="B45" s="91" t="s">
        <v>801</v>
      </c>
      <c r="D45" s="91" t="s">
        <v>357</v>
      </c>
      <c r="F45" s="98">
        <v>0</v>
      </c>
      <c r="G45" s="98">
        <v>48</v>
      </c>
      <c r="H45" s="98">
        <v>0</v>
      </c>
      <c r="J45" s="98">
        <v>-48</v>
      </c>
      <c r="K45" s="98">
        <v>0</v>
      </c>
      <c r="L45" s="98">
        <v>0</v>
      </c>
      <c r="M45" s="98">
        <v>-48</v>
      </c>
    </row>
    <row r="46" spans="1:13" x14ac:dyDescent="0.3">
      <c r="A46" s="91" t="s">
        <v>802</v>
      </c>
      <c r="B46" s="91" t="s">
        <v>803</v>
      </c>
      <c r="D46" s="91" t="s">
        <v>357</v>
      </c>
      <c r="F46" s="98">
        <v>0</v>
      </c>
      <c r="G46" s="98">
        <v>0</v>
      </c>
      <c r="H46" s="98">
        <v>0</v>
      </c>
      <c r="J46" s="98">
        <v>0</v>
      </c>
      <c r="K46" s="98">
        <v>96</v>
      </c>
      <c r="L46" s="98">
        <v>0</v>
      </c>
      <c r="M46" s="98">
        <v>96</v>
      </c>
    </row>
    <row r="47" spans="1:13" x14ac:dyDescent="0.3">
      <c r="A47" s="91" t="s">
        <v>804</v>
      </c>
      <c r="B47" s="91" t="s">
        <v>491</v>
      </c>
      <c r="D47" s="91" t="s">
        <v>357</v>
      </c>
      <c r="F47" s="98">
        <v>0</v>
      </c>
      <c r="G47" s="98">
        <v>48</v>
      </c>
      <c r="H47" s="98">
        <v>0</v>
      </c>
      <c r="J47" s="98">
        <v>-48</v>
      </c>
      <c r="K47" s="98">
        <v>0</v>
      </c>
      <c r="L47" s="98">
        <v>0</v>
      </c>
      <c r="M47" s="98">
        <v>-48</v>
      </c>
    </row>
    <row r="48" spans="1:13" x14ac:dyDescent="0.3">
      <c r="A48" s="91" t="s">
        <v>805</v>
      </c>
      <c r="B48" s="91" t="s">
        <v>806</v>
      </c>
      <c r="D48" s="91" t="s">
        <v>357</v>
      </c>
      <c r="F48" s="98">
        <v>0</v>
      </c>
      <c r="G48" s="98">
        <v>24</v>
      </c>
      <c r="H48" s="98">
        <v>0</v>
      </c>
      <c r="J48" s="98">
        <v>-24</v>
      </c>
      <c r="K48" s="98">
        <v>0</v>
      </c>
      <c r="L48" s="98">
        <v>0</v>
      </c>
      <c r="M48" s="98">
        <v>-24</v>
      </c>
    </row>
    <row r="49" spans="1:13" x14ac:dyDescent="0.3">
      <c r="A49" s="91" t="s">
        <v>807</v>
      </c>
      <c r="B49" s="91" t="s">
        <v>808</v>
      </c>
      <c r="D49" s="91" t="s">
        <v>357</v>
      </c>
      <c r="F49" s="98">
        <v>0</v>
      </c>
      <c r="G49" s="98">
        <v>24</v>
      </c>
      <c r="H49" s="98">
        <v>0</v>
      </c>
      <c r="J49" s="98">
        <v>-24</v>
      </c>
      <c r="K49" s="98">
        <v>0</v>
      </c>
      <c r="L49" s="98">
        <v>0</v>
      </c>
      <c r="M49" s="98">
        <v>-24</v>
      </c>
    </row>
    <row r="50" spans="1:13" x14ac:dyDescent="0.3">
      <c r="A50" s="91" t="s">
        <v>809</v>
      </c>
      <c r="B50" s="91" t="s">
        <v>810</v>
      </c>
      <c r="D50" s="91" t="s">
        <v>357</v>
      </c>
      <c r="F50" s="98">
        <v>0</v>
      </c>
      <c r="G50" s="98">
        <v>24</v>
      </c>
      <c r="H50" s="98">
        <v>0</v>
      </c>
      <c r="J50" s="98">
        <v>-24</v>
      </c>
      <c r="K50" s="98">
        <v>0</v>
      </c>
      <c r="L50" s="98">
        <v>0</v>
      </c>
      <c r="M50" s="98">
        <v>-24</v>
      </c>
    </row>
    <row r="51" spans="1:13" x14ac:dyDescent="0.3">
      <c r="A51" s="91" t="s">
        <v>811</v>
      </c>
      <c r="B51" s="91" t="s">
        <v>812</v>
      </c>
      <c r="D51" s="91" t="s">
        <v>357</v>
      </c>
      <c r="F51" s="98">
        <v>0</v>
      </c>
      <c r="G51" s="98">
        <v>24</v>
      </c>
      <c r="H51" s="98">
        <v>0</v>
      </c>
      <c r="J51" s="98">
        <v>-24</v>
      </c>
      <c r="K51" s="98">
        <v>0</v>
      </c>
      <c r="L51" s="98">
        <v>0</v>
      </c>
      <c r="M51" s="98">
        <v>-24</v>
      </c>
    </row>
    <row r="52" spans="1:13" x14ac:dyDescent="0.3">
      <c r="A52" s="91" t="s">
        <v>33</v>
      </c>
      <c r="B52" s="91" t="s">
        <v>263</v>
      </c>
      <c r="D52" s="91" t="s">
        <v>357</v>
      </c>
      <c r="F52" s="98">
        <v>1584</v>
      </c>
      <c r="G52" s="98">
        <v>48</v>
      </c>
      <c r="H52" s="98">
        <v>0</v>
      </c>
      <c r="J52" s="98">
        <v>1536</v>
      </c>
      <c r="K52" s="98">
        <v>0</v>
      </c>
      <c r="L52" s="98">
        <v>0</v>
      </c>
      <c r="M52" s="98">
        <v>1536</v>
      </c>
    </row>
    <row r="53" spans="1:13" x14ac:dyDescent="0.3">
      <c r="A53" s="91" t="s">
        <v>34</v>
      </c>
      <c r="B53" s="91" t="s">
        <v>264</v>
      </c>
      <c r="D53" s="91" t="s">
        <v>357</v>
      </c>
      <c r="F53" s="98">
        <v>792</v>
      </c>
      <c r="G53" s="98">
        <v>528</v>
      </c>
      <c r="H53" s="98">
        <v>0</v>
      </c>
      <c r="J53" s="98">
        <v>264</v>
      </c>
      <c r="K53" s="98">
        <v>0</v>
      </c>
      <c r="L53" s="98">
        <v>0</v>
      </c>
      <c r="M53" s="98">
        <v>264</v>
      </c>
    </row>
    <row r="54" spans="1:13" x14ac:dyDescent="0.3">
      <c r="A54" s="91" t="s">
        <v>813</v>
      </c>
      <c r="B54" s="91" t="s">
        <v>814</v>
      </c>
      <c r="D54" s="91" t="s">
        <v>357</v>
      </c>
      <c r="F54" s="98">
        <v>96</v>
      </c>
      <c r="G54" s="98">
        <v>0</v>
      </c>
      <c r="H54" s="98">
        <v>0</v>
      </c>
      <c r="J54" s="98">
        <v>96</v>
      </c>
      <c r="K54" s="98">
        <v>0</v>
      </c>
      <c r="L54" s="98">
        <v>0</v>
      </c>
      <c r="M54" s="98">
        <v>96</v>
      </c>
    </row>
    <row r="55" spans="1:13" x14ac:dyDescent="0.3">
      <c r="A55" s="91" t="s">
        <v>815</v>
      </c>
      <c r="B55" s="91" t="s">
        <v>151</v>
      </c>
      <c r="D55" s="91" t="s">
        <v>357</v>
      </c>
      <c r="F55" s="98">
        <v>48</v>
      </c>
      <c r="G55" s="98">
        <v>0</v>
      </c>
      <c r="H55" s="98">
        <v>0</v>
      </c>
      <c r="J55" s="98">
        <v>48</v>
      </c>
      <c r="K55" s="98">
        <v>0</v>
      </c>
      <c r="L55" s="98">
        <v>0</v>
      </c>
      <c r="M55" s="98">
        <v>48</v>
      </c>
    </row>
    <row r="56" spans="1:13" x14ac:dyDescent="0.3">
      <c r="A56" s="91" t="s">
        <v>816</v>
      </c>
      <c r="B56" s="91" t="s">
        <v>817</v>
      </c>
      <c r="D56" s="91" t="s">
        <v>357</v>
      </c>
      <c r="F56" s="98">
        <v>0</v>
      </c>
      <c r="G56" s="98">
        <v>102</v>
      </c>
      <c r="H56" s="98">
        <v>0</v>
      </c>
      <c r="J56" s="98">
        <v>-102</v>
      </c>
      <c r="K56" s="98">
        <v>0</v>
      </c>
      <c r="L56" s="98">
        <v>0</v>
      </c>
      <c r="M56" s="98">
        <v>-102</v>
      </c>
    </row>
    <row r="57" spans="1:13" x14ac:dyDescent="0.3">
      <c r="A57" s="91" t="s">
        <v>818</v>
      </c>
      <c r="B57" s="91" t="s">
        <v>819</v>
      </c>
      <c r="D57" s="91" t="s">
        <v>357</v>
      </c>
      <c r="F57" s="98">
        <v>0</v>
      </c>
      <c r="G57" s="98">
        <v>0</v>
      </c>
      <c r="H57" s="98">
        <v>0</v>
      </c>
      <c r="J57" s="98">
        <v>0</v>
      </c>
      <c r="K57" s="98">
        <v>24</v>
      </c>
      <c r="L57" s="98">
        <v>0</v>
      </c>
      <c r="M57" s="98">
        <v>24</v>
      </c>
    </row>
    <row r="58" spans="1:13" x14ac:dyDescent="0.3">
      <c r="A58" s="91" t="s">
        <v>820</v>
      </c>
      <c r="B58" s="91" t="s">
        <v>821</v>
      </c>
      <c r="D58" s="91" t="s">
        <v>357</v>
      </c>
      <c r="F58" s="98">
        <v>0</v>
      </c>
      <c r="G58" s="98">
        <v>0</v>
      </c>
      <c r="H58" s="98">
        <v>0</v>
      </c>
      <c r="J58" s="98">
        <v>0</v>
      </c>
      <c r="K58" s="98">
        <v>12</v>
      </c>
      <c r="L58" s="98">
        <v>0</v>
      </c>
      <c r="M58" s="98">
        <v>12</v>
      </c>
    </row>
    <row r="59" spans="1:13" x14ac:dyDescent="0.3">
      <c r="A59" s="91" t="s">
        <v>822</v>
      </c>
      <c r="B59" s="91" t="s">
        <v>823</v>
      </c>
      <c r="D59" s="91" t="s">
        <v>357</v>
      </c>
      <c r="F59" s="98">
        <v>192</v>
      </c>
      <c r="G59" s="98">
        <v>12</v>
      </c>
      <c r="H59" s="98">
        <v>0</v>
      </c>
      <c r="J59" s="98">
        <v>180</v>
      </c>
      <c r="K59" s="98">
        <v>0</v>
      </c>
      <c r="L59" s="98">
        <v>0</v>
      </c>
      <c r="M59" s="98">
        <v>180</v>
      </c>
    </row>
    <row r="60" spans="1:13" x14ac:dyDescent="0.3">
      <c r="A60" s="91" t="s">
        <v>824</v>
      </c>
      <c r="B60" s="91" t="s">
        <v>825</v>
      </c>
      <c r="D60" s="91" t="s">
        <v>357</v>
      </c>
      <c r="F60" s="98">
        <v>6000</v>
      </c>
      <c r="G60" s="98">
        <v>0</v>
      </c>
      <c r="H60" s="98">
        <v>0</v>
      </c>
      <c r="J60" s="98">
        <v>6000</v>
      </c>
      <c r="K60" s="98">
        <v>0</v>
      </c>
      <c r="L60" s="98">
        <v>0</v>
      </c>
      <c r="M60" s="98">
        <v>6000</v>
      </c>
    </row>
    <row r="61" spans="1:13" x14ac:dyDescent="0.3">
      <c r="A61" s="91" t="s">
        <v>826</v>
      </c>
      <c r="B61" s="91" t="s">
        <v>827</v>
      </c>
      <c r="D61" s="91" t="s">
        <v>357</v>
      </c>
      <c r="F61" s="98">
        <v>0</v>
      </c>
      <c r="G61" s="98">
        <v>48</v>
      </c>
      <c r="H61" s="98">
        <v>0</v>
      </c>
      <c r="J61" s="98">
        <v>-48</v>
      </c>
      <c r="K61" s="98">
        <v>0</v>
      </c>
      <c r="L61" s="98">
        <v>0</v>
      </c>
      <c r="M61" s="98">
        <v>-48</v>
      </c>
    </row>
    <row r="62" spans="1:13" x14ac:dyDescent="0.3">
      <c r="A62" s="91" t="s">
        <v>828</v>
      </c>
      <c r="B62" s="91" t="s">
        <v>829</v>
      </c>
      <c r="D62" s="91" t="s">
        <v>357</v>
      </c>
      <c r="F62" s="98">
        <v>84</v>
      </c>
      <c r="G62" s="98">
        <v>48</v>
      </c>
      <c r="H62" s="98">
        <v>0</v>
      </c>
      <c r="J62" s="98">
        <v>36</v>
      </c>
      <c r="K62" s="98">
        <v>0</v>
      </c>
      <c r="L62" s="98">
        <v>0</v>
      </c>
      <c r="M62" s="98">
        <v>36</v>
      </c>
    </row>
    <row r="63" spans="1:13" x14ac:dyDescent="0.3">
      <c r="A63" s="91" t="s">
        <v>830</v>
      </c>
      <c r="B63" s="91" t="s">
        <v>831</v>
      </c>
      <c r="D63" s="91" t="s">
        <v>357</v>
      </c>
      <c r="F63" s="98">
        <v>0</v>
      </c>
      <c r="G63" s="98">
        <v>24</v>
      </c>
      <c r="H63" s="98">
        <v>0</v>
      </c>
      <c r="J63" s="98">
        <v>-24</v>
      </c>
      <c r="K63" s="98">
        <v>0</v>
      </c>
      <c r="L63" s="98">
        <v>0</v>
      </c>
      <c r="M63" s="98">
        <v>-24</v>
      </c>
    </row>
    <row r="64" spans="1:13" x14ac:dyDescent="0.3">
      <c r="A64" s="91" t="s">
        <v>832</v>
      </c>
      <c r="B64" s="91" t="s">
        <v>833</v>
      </c>
      <c r="D64" s="91" t="s">
        <v>357</v>
      </c>
      <c r="F64" s="98">
        <v>0</v>
      </c>
      <c r="G64" s="98">
        <v>24</v>
      </c>
      <c r="H64" s="98">
        <v>0</v>
      </c>
      <c r="J64" s="98">
        <v>-24</v>
      </c>
      <c r="K64" s="98">
        <v>0</v>
      </c>
      <c r="L64" s="98">
        <v>0</v>
      </c>
      <c r="M64" s="98">
        <v>-24</v>
      </c>
    </row>
    <row r="65" spans="1:13" x14ac:dyDescent="0.3">
      <c r="A65" s="91" t="s">
        <v>834</v>
      </c>
      <c r="B65" s="91" t="s">
        <v>835</v>
      </c>
      <c r="D65" s="91" t="s">
        <v>357</v>
      </c>
      <c r="F65" s="98">
        <v>0</v>
      </c>
      <c r="G65" s="98">
        <v>72</v>
      </c>
      <c r="H65" s="98">
        <v>0</v>
      </c>
      <c r="J65" s="98">
        <v>-72</v>
      </c>
      <c r="K65" s="98">
        <v>0</v>
      </c>
      <c r="L65" s="98">
        <v>0</v>
      </c>
      <c r="M65" s="98">
        <v>-72</v>
      </c>
    </row>
    <row r="66" spans="1:13" x14ac:dyDescent="0.3">
      <c r="A66" s="91" t="s">
        <v>836</v>
      </c>
      <c r="B66" s="91" t="s">
        <v>837</v>
      </c>
      <c r="D66" s="91" t="s">
        <v>357</v>
      </c>
      <c r="F66" s="98">
        <v>0</v>
      </c>
      <c r="G66" s="98">
        <v>72</v>
      </c>
      <c r="H66" s="98">
        <v>0</v>
      </c>
      <c r="J66" s="98">
        <v>-72</v>
      </c>
      <c r="K66" s="98">
        <v>0</v>
      </c>
      <c r="L66" s="98">
        <v>0</v>
      </c>
      <c r="M66" s="98">
        <v>-72</v>
      </c>
    </row>
    <row r="67" spans="1:13" x14ac:dyDescent="0.3">
      <c r="A67" s="91" t="s">
        <v>838</v>
      </c>
      <c r="B67" s="91" t="s">
        <v>558</v>
      </c>
      <c r="D67" s="91" t="s">
        <v>357</v>
      </c>
      <c r="F67" s="98">
        <v>180</v>
      </c>
      <c r="G67" s="98">
        <v>0</v>
      </c>
      <c r="H67" s="98">
        <v>0</v>
      </c>
      <c r="J67" s="98">
        <v>180</v>
      </c>
      <c r="K67" s="98">
        <v>0</v>
      </c>
      <c r="L67" s="98">
        <v>0</v>
      </c>
      <c r="M67" s="98">
        <v>180</v>
      </c>
    </row>
    <row r="68" spans="1:13" x14ac:dyDescent="0.3">
      <c r="A68" s="91" t="s">
        <v>839</v>
      </c>
      <c r="B68" s="91" t="s">
        <v>840</v>
      </c>
      <c r="D68" s="91" t="s">
        <v>357</v>
      </c>
      <c r="F68" s="98">
        <v>0</v>
      </c>
      <c r="G68" s="98">
        <v>24</v>
      </c>
      <c r="H68" s="98">
        <v>0</v>
      </c>
      <c r="J68" s="98">
        <v>-24</v>
      </c>
      <c r="K68" s="98">
        <v>0</v>
      </c>
      <c r="L68" s="98">
        <v>0</v>
      </c>
      <c r="M68" s="98">
        <v>-24</v>
      </c>
    </row>
    <row r="69" spans="1:13" x14ac:dyDescent="0.3">
      <c r="A69" s="91" t="s">
        <v>841</v>
      </c>
      <c r="B69" s="91" t="s">
        <v>842</v>
      </c>
      <c r="D69" s="91" t="s">
        <v>357</v>
      </c>
      <c r="F69" s="98">
        <v>0</v>
      </c>
      <c r="G69" s="98">
        <v>72</v>
      </c>
      <c r="H69" s="98">
        <v>0</v>
      </c>
      <c r="J69" s="98">
        <v>-72</v>
      </c>
      <c r="K69" s="98">
        <v>0</v>
      </c>
      <c r="L69" s="98">
        <v>0</v>
      </c>
      <c r="M69" s="98">
        <v>-72</v>
      </c>
    </row>
    <row r="70" spans="1:13" x14ac:dyDescent="0.3">
      <c r="A70" s="91" t="s">
        <v>843</v>
      </c>
      <c r="B70" s="91" t="s">
        <v>844</v>
      </c>
      <c r="D70" s="91" t="s">
        <v>357</v>
      </c>
      <c r="F70" s="98">
        <v>816</v>
      </c>
      <c r="G70" s="98">
        <v>0</v>
      </c>
      <c r="H70" s="98">
        <v>0</v>
      </c>
      <c r="J70" s="98">
        <v>816</v>
      </c>
      <c r="K70" s="98">
        <v>0</v>
      </c>
      <c r="L70" s="98">
        <v>0</v>
      </c>
      <c r="M70" s="98">
        <v>816</v>
      </c>
    </row>
    <row r="71" spans="1:13" x14ac:dyDescent="0.3">
      <c r="A71" s="91" t="s">
        <v>845</v>
      </c>
      <c r="B71" s="91" t="s">
        <v>846</v>
      </c>
      <c r="D71" s="91" t="s">
        <v>357</v>
      </c>
      <c r="F71" s="98">
        <v>24</v>
      </c>
      <c r="G71" s="98">
        <v>0</v>
      </c>
      <c r="H71" s="98">
        <v>0</v>
      </c>
      <c r="J71" s="98">
        <v>24</v>
      </c>
      <c r="K71" s="98">
        <v>0</v>
      </c>
      <c r="L71" s="98">
        <v>0</v>
      </c>
      <c r="M71" s="98">
        <v>24</v>
      </c>
    </row>
    <row r="72" spans="1:13" x14ac:dyDescent="0.3">
      <c r="A72" s="91" t="s">
        <v>847</v>
      </c>
      <c r="B72" s="91" t="s">
        <v>848</v>
      </c>
      <c r="D72" s="91" t="s">
        <v>357</v>
      </c>
      <c r="F72" s="98">
        <v>0</v>
      </c>
      <c r="G72" s="98">
        <v>48</v>
      </c>
      <c r="H72" s="98">
        <v>0</v>
      </c>
      <c r="J72" s="98">
        <v>-48</v>
      </c>
      <c r="K72" s="98">
        <v>0</v>
      </c>
      <c r="L72" s="98">
        <v>0</v>
      </c>
      <c r="M72" s="98">
        <v>-48</v>
      </c>
    </row>
    <row r="73" spans="1:13" x14ac:dyDescent="0.3">
      <c r="A73" s="91" t="s">
        <v>849</v>
      </c>
      <c r="B73" s="91" t="s">
        <v>850</v>
      </c>
      <c r="D73" s="91" t="s">
        <v>357</v>
      </c>
      <c r="F73" s="98">
        <v>48</v>
      </c>
      <c r="G73" s="98">
        <v>0</v>
      </c>
      <c r="H73" s="98">
        <v>0</v>
      </c>
      <c r="J73" s="98">
        <v>48</v>
      </c>
      <c r="K73" s="98">
        <v>0</v>
      </c>
      <c r="L73" s="98">
        <v>0</v>
      </c>
      <c r="M73" s="98">
        <v>48</v>
      </c>
    </row>
    <row r="74" spans="1:13" x14ac:dyDescent="0.3">
      <c r="A74" s="91" t="s">
        <v>851</v>
      </c>
      <c r="B74" s="91" t="s">
        <v>852</v>
      </c>
      <c r="D74" s="91" t="s">
        <v>357</v>
      </c>
      <c r="F74" s="98">
        <v>456</v>
      </c>
      <c r="G74" s="98">
        <v>0</v>
      </c>
      <c r="H74" s="98">
        <v>0</v>
      </c>
      <c r="J74" s="98">
        <v>456</v>
      </c>
      <c r="K74" s="98">
        <v>0</v>
      </c>
      <c r="L74" s="98">
        <v>0</v>
      </c>
      <c r="M74" s="98">
        <v>456</v>
      </c>
    </row>
    <row r="75" spans="1:13" x14ac:dyDescent="0.3">
      <c r="A75" s="91" t="s">
        <v>853</v>
      </c>
      <c r="B75" s="91" t="s">
        <v>164</v>
      </c>
      <c r="D75" s="91" t="s">
        <v>357</v>
      </c>
      <c r="F75" s="98">
        <v>0</v>
      </c>
      <c r="G75" s="98">
        <v>24</v>
      </c>
      <c r="H75" s="98">
        <v>0</v>
      </c>
      <c r="J75" s="98">
        <v>-24</v>
      </c>
      <c r="K75" s="98">
        <v>0</v>
      </c>
      <c r="L75" s="98">
        <v>0</v>
      </c>
      <c r="M75" s="98">
        <v>-24</v>
      </c>
    </row>
    <row r="76" spans="1:13" x14ac:dyDescent="0.3">
      <c r="A76" s="91" t="s">
        <v>854</v>
      </c>
      <c r="B76" s="91" t="s">
        <v>855</v>
      </c>
      <c r="D76" s="91" t="s">
        <v>357</v>
      </c>
      <c r="F76" s="98">
        <v>0</v>
      </c>
      <c r="G76" s="98">
        <v>24</v>
      </c>
      <c r="H76" s="98">
        <v>0</v>
      </c>
      <c r="J76" s="98">
        <v>-24</v>
      </c>
      <c r="K76" s="98">
        <v>0</v>
      </c>
      <c r="L76" s="98">
        <v>0</v>
      </c>
      <c r="M76" s="98">
        <v>-24</v>
      </c>
    </row>
    <row r="77" spans="1:13" x14ac:dyDescent="0.3">
      <c r="A77" s="91" t="s">
        <v>856</v>
      </c>
      <c r="B77" s="91" t="s">
        <v>857</v>
      </c>
      <c r="D77" s="91" t="s">
        <v>357</v>
      </c>
      <c r="F77" s="98">
        <v>0</v>
      </c>
      <c r="G77" s="98">
        <v>24</v>
      </c>
      <c r="H77" s="98">
        <v>0</v>
      </c>
      <c r="J77" s="98">
        <v>-24</v>
      </c>
      <c r="K77" s="98">
        <v>0</v>
      </c>
      <c r="L77" s="98">
        <v>0</v>
      </c>
      <c r="M77" s="98">
        <v>-24</v>
      </c>
    </row>
    <row r="78" spans="1:13" x14ac:dyDescent="0.3">
      <c r="A78" s="91" t="s">
        <v>858</v>
      </c>
      <c r="B78" s="91" t="s">
        <v>859</v>
      </c>
      <c r="D78" s="91" t="s">
        <v>357</v>
      </c>
      <c r="F78" s="98">
        <v>0</v>
      </c>
      <c r="G78" s="98">
        <v>24</v>
      </c>
      <c r="H78" s="98">
        <v>0</v>
      </c>
      <c r="J78" s="98">
        <v>-24</v>
      </c>
      <c r="K78" s="98">
        <v>0</v>
      </c>
      <c r="L78" s="98">
        <v>0</v>
      </c>
      <c r="M78" s="98">
        <v>-24</v>
      </c>
    </row>
    <row r="79" spans="1:13" x14ac:dyDescent="0.3">
      <c r="A79" s="91" t="s">
        <v>860</v>
      </c>
      <c r="B79" s="91" t="s">
        <v>861</v>
      </c>
      <c r="D79" s="91" t="s">
        <v>357</v>
      </c>
      <c r="F79" s="98">
        <v>0</v>
      </c>
      <c r="G79" s="98">
        <v>48</v>
      </c>
      <c r="H79" s="98">
        <v>0</v>
      </c>
      <c r="J79" s="98">
        <v>-48</v>
      </c>
      <c r="K79" s="98">
        <v>0</v>
      </c>
      <c r="L79" s="98">
        <v>0</v>
      </c>
      <c r="M79" s="98">
        <v>-48</v>
      </c>
    </row>
    <row r="80" spans="1:13" x14ac:dyDescent="0.3">
      <c r="A80" s="91" t="s">
        <v>862</v>
      </c>
      <c r="B80" s="91" t="s">
        <v>863</v>
      </c>
      <c r="D80" s="91" t="s">
        <v>357</v>
      </c>
      <c r="F80" s="98">
        <v>0</v>
      </c>
      <c r="G80" s="98">
        <v>24</v>
      </c>
      <c r="H80" s="98">
        <v>0</v>
      </c>
      <c r="J80" s="98">
        <v>-24</v>
      </c>
      <c r="K80" s="98">
        <v>0</v>
      </c>
      <c r="L80" s="98">
        <v>0</v>
      </c>
      <c r="M80" s="98">
        <v>-24</v>
      </c>
    </row>
    <row r="81" spans="1:13" x14ac:dyDescent="0.3">
      <c r="A81" s="91" t="s">
        <v>864</v>
      </c>
      <c r="B81" s="91" t="s">
        <v>865</v>
      </c>
      <c r="D81" s="91" t="s">
        <v>357</v>
      </c>
      <c r="F81" s="98">
        <v>0</v>
      </c>
      <c r="G81" s="98">
        <v>24</v>
      </c>
      <c r="H81" s="98">
        <v>0</v>
      </c>
      <c r="J81" s="98">
        <v>-24</v>
      </c>
      <c r="K81" s="98">
        <v>0</v>
      </c>
      <c r="L81" s="98">
        <v>0</v>
      </c>
      <c r="M81" s="98">
        <v>-24</v>
      </c>
    </row>
    <row r="82" spans="1:13" x14ac:dyDescent="0.3">
      <c r="A82" s="91" t="s">
        <v>866</v>
      </c>
      <c r="B82" s="91" t="s">
        <v>168</v>
      </c>
      <c r="D82" s="91" t="s">
        <v>357</v>
      </c>
      <c r="F82" s="98">
        <v>0</v>
      </c>
      <c r="G82" s="98">
        <v>48</v>
      </c>
      <c r="H82" s="98">
        <v>0</v>
      </c>
      <c r="J82" s="98">
        <v>-48</v>
      </c>
      <c r="K82" s="98">
        <v>0</v>
      </c>
      <c r="L82" s="98">
        <v>0</v>
      </c>
      <c r="M82" s="98">
        <v>-48</v>
      </c>
    </row>
    <row r="83" spans="1:13" x14ac:dyDescent="0.3">
      <c r="A83" s="91" t="s">
        <v>867</v>
      </c>
      <c r="B83" s="91" t="s">
        <v>169</v>
      </c>
      <c r="D83" s="91" t="s">
        <v>357</v>
      </c>
      <c r="F83" s="98">
        <v>0</v>
      </c>
      <c r="G83" s="98">
        <v>30</v>
      </c>
      <c r="H83" s="98">
        <v>0</v>
      </c>
      <c r="J83" s="98">
        <v>-30</v>
      </c>
      <c r="K83" s="98">
        <v>0</v>
      </c>
      <c r="L83" s="98">
        <v>0</v>
      </c>
      <c r="M83" s="98">
        <v>-30</v>
      </c>
    </row>
    <row r="84" spans="1:13" x14ac:dyDescent="0.3">
      <c r="A84" s="91" t="s">
        <v>868</v>
      </c>
      <c r="B84" s="91" t="s">
        <v>170</v>
      </c>
      <c r="D84" s="91" t="s">
        <v>357</v>
      </c>
      <c r="F84" s="98">
        <v>0</v>
      </c>
      <c r="G84" s="98">
        <v>24</v>
      </c>
      <c r="H84" s="98">
        <v>0</v>
      </c>
      <c r="J84" s="98">
        <v>-24</v>
      </c>
      <c r="K84" s="98">
        <v>0</v>
      </c>
      <c r="L84" s="98">
        <v>0</v>
      </c>
      <c r="M84" s="98">
        <v>-24</v>
      </c>
    </row>
    <row r="85" spans="1:13" x14ac:dyDescent="0.3">
      <c r="A85" s="91" t="s">
        <v>869</v>
      </c>
      <c r="B85" s="91" t="s">
        <v>870</v>
      </c>
      <c r="D85" s="91" t="s">
        <v>357</v>
      </c>
      <c r="F85" s="98">
        <v>0</v>
      </c>
      <c r="G85" s="98">
        <v>72</v>
      </c>
      <c r="H85" s="98">
        <v>0</v>
      </c>
      <c r="J85" s="98">
        <v>-72</v>
      </c>
      <c r="K85" s="98">
        <v>0</v>
      </c>
      <c r="L85" s="98">
        <v>0</v>
      </c>
      <c r="M85" s="98">
        <v>-72</v>
      </c>
    </row>
    <row r="86" spans="1:13" x14ac:dyDescent="0.3">
      <c r="A86" s="91" t="s">
        <v>871</v>
      </c>
      <c r="B86" s="91" t="s">
        <v>872</v>
      </c>
      <c r="D86" s="91" t="s">
        <v>357</v>
      </c>
      <c r="F86" s="98">
        <v>0</v>
      </c>
      <c r="G86" s="98">
        <v>48</v>
      </c>
      <c r="H86" s="98">
        <v>0</v>
      </c>
      <c r="J86" s="98">
        <v>-48</v>
      </c>
      <c r="K86" s="98">
        <v>0</v>
      </c>
      <c r="L86" s="98">
        <v>0</v>
      </c>
      <c r="M86" s="98">
        <v>-48</v>
      </c>
    </row>
    <row r="87" spans="1:13" x14ac:dyDescent="0.3">
      <c r="A87" s="91" t="s">
        <v>873</v>
      </c>
      <c r="B87" s="91" t="s">
        <v>874</v>
      </c>
      <c r="D87" s="91" t="s">
        <v>357</v>
      </c>
      <c r="F87" s="98">
        <v>0</v>
      </c>
      <c r="G87" s="98">
        <v>48</v>
      </c>
      <c r="H87" s="98">
        <v>0</v>
      </c>
      <c r="J87" s="98">
        <v>-48</v>
      </c>
      <c r="K87" s="98">
        <v>0</v>
      </c>
      <c r="L87" s="98">
        <v>0</v>
      </c>
      <c r="M87" s="98">
        <v>-48</v>
      </c>
    </row>
    <row r="88" spans="1:13" x14ac:dyDescent="0.3">
      <c r="A88" s="91" t="s">
        <v>875</v>
      </c>
      <c r="B88" s="91" t="s">
        <v>876</v>
      </c>
      <c r="D88" s="91" t="s">
        <v>357</v>
      </c>
      <c r="F88" s="98">
        <v>0</v>
      </c>
      <c r="G88" s="98">
        <v>48</v>
      </c>
      <c r="H88" s="98">
        <v>0</v>
      </c>
      <c r="J88" s="98">
        <v>-48</v>
      </c>
      <c r="K88" s="98">
        <v>0</v>
      </c>
      <c r="L88" s="98">
        <v>0</v>
      </c>
      <c r="M88" s="98">
        <v>-48</v>
      </c>
    </row>
    <row r="89" spans="1:13" x14ac:dyDescent="0.3">
      <c r="A89" s="91" t="s">
        <v>877</v>
      </c>
      <c r="B89" s="91" t="s">
        <v>177</v>
      </c>
      <c r="D89" s="91" t="s">
        <v>357</v>
      </c>
      <c r="F89" s="98">
        <v>0</v>
      </c>
      <c r="G89" s="98">
        <v>48</v>
      </c>
      <c r="H89" s="98">
        <v>0</v>
      </c>
      <c r="J89" s="98">
        <v>-48</v>
      </c>
      <c r="K89" s="98">
        <v>0</v>
      </c>
      <c r="L89" s="98">
        <v>0</v>
      </c>
      <c r="M89" s="98">
        <v>-48</v>
      </c>
    </row>
    <row r="90" spans="1:13" x14ac:dyDescent="0.3">
      <c r="A90" s="91" t="s">
        <v>878</v>
      </c>
      <c r="B90" s="91" t="s">
        <v>687</v>
      </c>
      <c r="D90" s="91" t="s">
        <v>357</v>
      </c>
      <c r="F90" s="98">
        <v>0</v>
      </c>
      <c r="G90" s="98">
        <v>48</v>
      </c>
      <c r="H90" s="98">
        <v>0</v>
      </c>
      <c r="J90" s="98">
        <v>-48</v>
      </c>
      <c r="K90" s="98">
        <v>0</v>
      </c>
      <c r="L90" s="98">
        <v>0</v>
      </c>
      <c r="M90" s="98">
        <v>-48</v>
      </c>
    </row>
    <row r="91" spans="1:13" x14ac:dyDescent="0.3">
      <c r="A91" s="91" t="s">
        <v>879</v>
      </c>
      <c r="B91" s="91" t="s">
        <v>880</v>
      </c>
      <c r="D91" s="91" t="s">
        <v>357</v>
      </c>
      <c r="F91" s="98">
        <v>264</v>
      </c>
      <c r="G91" s="98">
        <v>180</v>
      </c>
      <c r="H91" s="98">
        <v>0</v>
      </c>
      <c r="J91" s="98">
        <v>84</v>
      </c>
      <c r="K91" s="98">
        <v>384</v>
      </c>
      <c r="L91" s="98">
        <v>0</v>
      </c>
      <c r="M91" s="98">
        <v>468</v>
      </c>
    </row>
    <row r="92" spans="1:13" x14ac:dyDescent="0.3">
      <c r="A92" s="91" t="s">
        <v>881</v>
      </c>
      <c r="B92" s="91" t="s">
        <v>882</v>
      </c>
      <c r="D92" s="91" t="s">
        <v>357</v>
      </c>
      <c r="F92" s="98">
        <v>264</v>
      </c>
      <c r="G92" s="98">
        <v>0</v>
      </c>
      <c r="H92" s="98">
        <v>0</v>
      </c>
      <c r="J92" s="98">
        <v>264</v>
      </c>
      <c r="K92" s="98">
        <v>0</v>
      </c>
      <c r="L92" s="98">
        <v>0</v>
      </c>
      <c r="M92" s="98">
        <v>264</v>
      </c>
    </row>
    <row r="93" spans="1:13" x14ac:dyDescent="0.3">
      <c r="A93" s="91" t="s">
        <v>883</v>
      </c>
      <c r="B93" s="91" t="s">
        <v>884</v>
      </c>
      <c r="D93" s="91" t="s">
        <v>357</v>
      </c>
      <c r="F93" s="98">
        <v>252</v>
      </c>
      <c r="G93" s="98">
        <v>36</v>
      </c>
      <c r="H93" s="98">
        <v>0</v>
      </c>
      <c r="J93" s="98">
        <v>216</v>
      </c>
      <c r="K93" s="98">
        <v>0</v>
      </c>
      <c r="L93" s="98">
        <v>0</v>
      </c>
      <c r="M93" s="98">
        <v>216</v>
      </c>
    </row>
    <row r="94" spans="1:13" x14ac:dyDescent="0.3">
      <c r="A94" s="91" t="s">
        <v>885</v>
      </c>
      <c r="B94" s="91" t="s">
        <v>886</v>
      </c>
      <c r="D94" s="91" t="s">
        <v>357</v>
      </c>
      <c r="F94" s="98">
        <v>0</v>
      </c>
      <c r="G94" s="98">
        <v>24</v>
      </c>
      <c r="H94" s="98">
        <v>0</v>
      </c>
      <c r="J94" s="98">
        <v>-24</v>
      </c>
      <c r="K94" s="98">
        <v>0</v>
      </c>
      <c r="L94" s="98">
        <v>0</v>
      </c>
      <c r="M94" s="98">
        <v>-24</v>
      </c>
    </row>
    <row r="95" spans="1:13" x14ac:dyDescent="0.3">
      <c r="A95" s="91" t="s">
        <v>887</v>
      </c>
      <c r="B95" s="91" t="s">
        <v>888</v>
      </c>
      <c r="D95" s="91" t="s">
        <v>357</v>
      </c>
      <c r="F95" s="98">
        <v>0</v>
      </c>
      <c r="G95" s="98">
        <v>36</v>
      </c>
      <c r="H95" s="98">
        <v>0</v>
      </c>
      <c r="J95" s="98">
        <v>-36</v>
      </c>
      <c r="K95" s="98">
        <v>0</v>
      </c>
      <c r="L95" s="98">
        <v>0</v>
      </c>
      <c r="M95" s="98">
        <v>-36</v>
      </c>
    </row>
    <row r="96" spans="1:13" x14ac:dyDescent="0.3">
      <c r="A96" s="91" t="s">
        <v>889</v>
      </c>
      <c r="B96" s="91" t="s">
        <v>890</v>
      </c>
      <c r="D96" s="91" t="s">
        <v>357</v>
      </c>
      <c r="F96" s="98">
        <v>0</v>
      </c>
      <c r="G96" s="98">
        <v>36</v>
      </c>
      <c r="H96" s="98">
        <v>0</v>
      </c>
      <c r="J96" s="98">
        <v>-36</v>
      </c>
      <c r="K96" s="98">
        <v>0</v>
      </c>
      <c r="L96" s="98">
        <v>0</v>
      </c>
      <c r="M96" s="98">
        <v>-36</v>
      </c>
    </row>
    <row r="97" spans="1:13" x14ac:dyDescent="0.3">
      <c r="A97" s="91" t="s">
        <v>891</v>
      </c>
      <c r="B97" s="91" t="s">
        <v>892</v>
      </c>
      <c r="D97" s="91" t="s">
        <v>357</v>
      </c>
      <c r="F97" s="98">
        <v>24</v>
      </c>
      <c r="G97" s="98">
        <v>24</v>
      </c>
      <c r="H97" s="98">
        <v>0</v>
      </c>
      <c r="J97" s="98">
        <v>0</v>
      </c>
      <c r="K97" s="98">
        <v>0</v>
      </c>
      <c r="L97" s="98">
        <v>0</v>
      </c>
      <c r="M97" s="98">
        <v>0</v>
      </c>
    </row>
    <row r="98" spans="1:13" x14ac:dyDescent="0.3">
      <c r="A98" s="91" t="s">
        <v>893</v>
      </c>
      <c r="B98" s="91" t="s">
        <v>894</v>
      </c>
      <c r="D98" s="91" t="s">
        <v>357</v>
      </c>
      <c r="F98" s="98">
        <v>300</v>
      </c>
      <c r="G98" s="98">
        <v>12</v>
      </c>
      <c r="H98" s="98">
        <v>0</v>
      </c>
      <c r="J98" s="98">
        <v>288</v>
      </c>
      <c r="K98" s="98">
        <v>0</v>
      </c>
      <c r="L98" s="98">
        <v>0</v>
      </c>
      <c r="M98" s="98">
        <v>288</v>
      </c>
    </row>
    <row r="99" spans="1:13" x14ac:dyDescent="0.3">
      <c r="A99" s="91" t="s">
        <v>895</v>
      </c>
      <c r="B99" s="91" t="s">
        <v>896</v>
      </c>
      <c r="D99" s="91" t="s">
        <v>357</v>
      </c>
      <c r="F99" s="98">
        <v>276</v>
      </c>
      <c r="G99" s="98">
        <v>0</v>
      </c>
      <c r="H99" s="98">
        <v>0</v>
      </c>
      <c r="J99" s="98">
        <v>276</v>
      </c>
      <c r="K99" s="98">
        <v>0</v>
      </c>
      <c r="L99" s="98">
        <v>0</v>
      </c>
      <c r="M99" s="98">
        <v>276</v>
      </c>
    </row>
    <row r="100" spans="1:13" x14ac:dyDescent="0.3">
      <c r="A100" s="91" t="s">
        <v>897</v>
      </c>
      <c r="B100" s="91" t="s">
        <v>898</v>
      </c>
      <c r="D100" s="91" t="s">
        <v>357</v>
      </c>
      <c r="F100" s="98">
        <v>300</v>
      </c>
      <c r="G100" s="98">
        <v>0</v>
      </c>
      <c r="H100" s="98">
        <v>0</v>
      </c>
      <c r="J100" s="98">
        <v>300</v>
      </c>
      <c r="K100" s="98">
        <v>0</v>
      </c>
      <c r="L100" s="98">
        <v>0</v>
      </c>
      <c r="M100" s="98">
        <v>300</v>
      </c>
    </row>
    <row r="101" spans="1:13" x14ac:dyDescent="0.3">
      <c r="A101" s="91" t="s">
        <v>899</v>
      </c>
      <c r="B101" s="91" t="s">
        <v>900</v>
      </c>
      <c r="D101" s="91" t="s">
        <v>357</v>
      </c>
      <c r="F101" s="98">
        <v>0</v>
      </c>
      <c r="G101" s="98">
        <v>24</v>
      </c>
      <c r="H101" s="98">
        <v>0</v>
      </c>
      <c r="J101" s="98">
        <v>-24</v>
      </c>
      <c r="K101" s="98">
        <v>0</v>
      </c>
      <c r="L101" s="98">
        <v>0</v>
      </c>
      <c r="M101" s="98">
        <v>-24</v>
      </c>
    </row>
    <row r="102" spans="1:13" x14ac:dyDescent="0.3">
      <c r="A102" s="91" t="s">
        <v>248</v>
      </c>
      <c r="B102" s="91" t="s">
        <v>265</v>
      </c>
      <c r="D102" s="91" t="s">
        <v>357</v>
      </c>
      <c r="F102" s="98">
        <v>216</v>
      </c>
      <c r="G102" s="98">
        <v>0</v>
      </c>
      <c r="H102" s="98">
        <v>0</v>
      </c>
      <c r="J102" s="98">
        <v>216</v>
      </c>
      <c r="K102" s="98">
        <v>0</v>
      </c>
      <c r="L102" s="98">
        <v>0</v>
      </c>
      <c r="M102" s="98">
        <v>216</v>
      </c>
    </row>
    <row r="103" spans="1:13" x14ac:dyDescent="0.3">
      <c r="A103" s="91" t="s">
        <v>901</v>
      </c>
      <c r="B103" s="91" t="s">
        <v>902</v>
      </c>
      <c r="D103" s="91" t="s">
        <v>357</v>
      </c>
      <c r="F103" s="98">
        <v>252</v>
      </c>
      <c r="G103" s="98">
        <v>0</v>
      </c>
      <c r="H103" s="98">
        <v>0</v>
      </c>
      <c r="J103" s="98">
        <v>252</v>
      </c>
      <c r="K103" s="98">
        <v>0</v>
      </c>
      <c r="L103" s="98">
        <v>0</v>
      </c>
      <c r="M103" s="98">
        <v>252</v>
      </c>
    </row>
    <row r="104" spans="1:13" x14ac:dyDescent="0.3">
      <c r="A104" s="91" t="s">
        <v>903</v>
      </c>
      <c r="B104" s="91" t="s">
        <v>904</v>
      </c>
      <c r="D104" s="91" t="s">
        <v>357</v>
      </c>
      <c r="F104" s="98">
        <v>1242</v>
      </c>
      <c r="G104" s="98">
        <v>390</v>
      </c>
      <c r="H104" s="98">
        <v>0</v>
      </c>
      <c r="J104" s="98">
        <v>852</v>
      </c>
      <c r="K104" s="98">
        <v>0</v>
      </c>
      <c r="L104" s="98">
        <v>0</v>
      </c>
      <c r="M104" s="98">
        <v>852</v>
      </c>
    </row>
    <row r="105" spans="1:13" x14ac:dyDescent="0.3">
      <c r="A105" s="91" t="s">
        <v>250</v>
      </c>
      <c r="B105" s="91" t="s">
        <v>267</v>
      </c>
      <c r="D105" s="91" t="s">
        <v>357</v>
      </c>
      <c r="F105" s="98">
        <v>0</v>
      </c>
      <c r="G105" s="98">
        <v>396</v>
      </c>
      <c r="H105" s="98">
        <v>0</v>
      </c>
      <c r="J105" s="98">
        <v>-396</v>
      </c>
      <c r="K105" s="98">
        <v>0</v>
      </c>
      <c r="L105" s="98">
        <v>0</v>
      </c>
      <c r="M105" s="98">
        <v>-396</v>
      </c>
    </row>
    <row r="106" spans="1:13" x14ac:dyDescent="0.3">
      <c r="A106" s="91" t="s">
        <v>905</v>
      </c>
      <c r="B106" s="91" t="s">
        <v>906</v>
      </c>
      <c r="D106" s="91" t="s">
        <v>357</v>
      </c>
      <c r="F106" s="98">
        <v>252</v>
      </c>
      <c r="G106" s="98">
        <v>1080</v>
      </c>
      <c r="H106" s="98">
        <v>0</v>
      </c>
      <c r="J106" s="98">
        <v>-828</v>
      </c>
      <c r="K106" s="98">
        <v>0</v>
      </c>
      <c r="L106" s="98">
        <v>0</v>
      </c>
      <c r="M106" s="98">
        <v>-828</v>
      </c>
    </row>
    <row r="107" spans="1:13" x14ac:dyDescent="0.3">
      <c r="A107" s="91" t="s">
        <v>907</v>
      </c>
      <c r="B107" s="91" t="s">
        <v>908</v>
      </c>
      <c r="D107" s="91" t="s">
        <v>357</v>
      </c>
      <c r="F107" s="98">
        <v>0</v>
      </c>
      <c r="G107" s="98">
        <v>0</v>
      </c>
      <c r="H107" s="98">
        <v>0</v>
      </c>
      <c r="J107" s="98">
        <v>0</v>
      </c>
      <c r="K107" s="98">
        <v>48</v>
      </c>
      <c r="L107" s="98">
        <v>0</v>
      </c>
      <c r="M107" s="98">
        <v>48</v>
      </c>
    </row>
    <row r="108" spans="1:13" x14ac:dyDescent="0.3">
      <c r="A108" s="91" t="s">
        <v>909</v>
      </c>
      <c r="B108" s="91" t="s">
        <v>910</v>
      </c>
      <c r="D108" s="91" t="s">
        <v>357</v>
      </c>
      <c r="F108" s="98">
        <v>0</v>
      </c>
      <c r="G108" s="98">
        <v>0</v>
      </c>
      <c r="H108" s="98">
        <v>0</v>
      </c>
      <c r="J108" s="98">
        <v>0</v>
      </c>
      <c r="K108" s="98">
        <v>120</v>
      </c>
      <c r="L108" s="98">
        <v>0</v>
      </c>
      <c r="M108" s="98">
        <v>120</v>
      </c>
    </row>
    <row r="109" spans="1:13" x14ac:dyDescent="0.3">
      <c r="A109" s="91" t="s">
        <v>911</v>
      </c>
      <c r="B109" s="91" t="s">
        <v>912</v>
      </c>
      <c r="D109" s="91" t="s">
        <v>357</v>
      </c>
      <c r="F109" s="98">
        <v>0</v>
      </c>
      <c r="G109" s="98">
        <v>0</v>
      </c>
      <c r="H109" s="98">
        <v>0</v>
      </c>
      <c r="J109" s="98">
        <v>0</v>
      </c>
      <c r="K109" s="98">
        <v>24</v>
      </c>
      <c r="L109" s="98">
        <v>0</v>
      </c>
      <c r="M109" s="98">
        <v>24</v>
      </c>
    </row>
    <row r="110" spans="1:13" x14ac:dyDescent="0.3">
      <c r="A110" s="91" t="s">
        <v>913</v>
      </c>
      <c r="B110" s="91" t="s">
        <v>914</v>
      </c>
      <c r="D110" s="91" t="s">
        <v>357</v>
      </c>
      <c r="F110" s="98">
        <v>3492</v>
      </c>
      <c r="G110" s="98">
        <v>1392</v>
      </c>
      <c r="H110" s="98">
        <v>0</v>
      </c>
      <c r="J110" s="98">
        <v>2100</v>
      </c>
      <c r="K110" s="98">
        <v>1881</v>
      </c>
      <c r="L110" s="98">
        <v>0</v>
      </c>
      <c r="M110" s="98">
        <v>3981</v>
      </c>
    </row>
    <row r="111" spans="1:13" x14ac:dyDescent="0.3">
      <c r="A111" s="91" t="s">
        <v>915</v>
      </c>
      <c r="B111" s="91" t="s">
        <v>916</v>
      </c>
      <c r="D111" s="91" t="s">
        <v>357</v>
      </c>
      <c r="F111" s="98">
        <v>0</v>
      </c>
      <c r="G111" s="98">
        <v>0</v>
      </c>
      <c r="H111" s="98">
        <v>0</v>
      </c>
      <c r="J111" s="98">
        <v>0</v>
      </c>
      <c r="K111" s="98">
        <v>12</v>
      </c>
      <c r="L111" s="98">
        <v>0</v>
      </c>
      <c r="M111" s="98">
        <v>12</v>
      </c>
    </row>
    <row r="112" spans="1:13" x14ac:dyDescent="0.3">
      <c r="A112" s="91" t="s">
        <v>917</v>
      </c>
      <c r="B112" s="91" t="s">
        <v>918</v>
      </c>
      <c r="D112" s="91" t="s">
        <v>357</v>
      </c>
      <c r="F112" s="98">
        <v>0</v>
      </c>
      <c r="G112" s="98">
        <v>0</v>
      </c>
      <c r="H112" s="98">
        <v>0</v>
      </c>
      <c r="J112" s="98">
        <v>0</v>
      </c>
      <c r="K112" s="98">
        <v>60</v>
      </c>
      <c r="L112" s="98">
        <v>0</v>
      </c>
      <c r="M112" s="98">
        <v>60</v>
      </c>
    </row>
    <row r="113" spans="1:13" x14ac:dyDescent="0.3">
      <c r="A113" s="91" t="s">
        <v>919</v>
      </c>
      <c r="B113" s="91" t="s">
        <v>920</v>
      </c>
      <c r="D113" s="91" t="s">
        <v>357</v>
      </c>
      <c r="F113" s="98">
        <v>84</v>
      </c>
      <c r="G113" s="98">
        <v>24</v>
      </c>
      <c r="H113" s="98">
        <v>0</v>
      </c>
      <c r="J113" s="98">
        <v>60</v>
      </c>
      <c r="K113" s="98">
        <v>0</v>
      </c>
      <c r="L113" s="98">
        <v>0</v>
      </c>
      <c r="M113" s="98">
        <v>60</v>
      </c>
    </row>
    <row r="114" spans="1:13" x14ac:dyDescent="0.3">
      <c r="A114" s="91" t="s">
        <v>921</v>
      </c>
      <c r="B114" s="91" t="s">
        <v>922</v>
      </c>
      <c r="D114" s="91" t="s">
        <v>357</v>
      </c>
      <c r="F114" s="98">
        <v>0</v>
      </c>
      <c r="G114" s="98">
        <v>0</v>
      </c>
      <c r="H114" s="98">
        <v>0</v>
      </c>
      <c r="J114" s="98">
        <v>0</v>
      </c>
      <c r="K114" s="98">
        <v>120</v>
      </c>
      <c r="L114" s="98">
        <v>0</v>
      </c>
      <c r="M114" s="98">
        <v>120</v>
      </c>
    </row>
    <row r="115" spans="1:13" x14ac:dyDescent="0.3">
      <c r="A115" s="91" t="s">
        <v>923</v>
      </c>
      <c r="B115" s="91" t="s">
        <v>924</v>
      </c>
      <c r="D115" s="91" t="s">
        <v>357</v>
      </c>
      <c r="F115" s="98">
        <v>120</v>
      </c>
      <c r="G115" s="98">
        <v>6</v>
      </c>
      <c r="H115" s="98">
        <v>0</v>
      </c>
      <c r="J115" s="98">
        <v>114</v>
      </c>
      <c r="K115" s="98">
        <v>0</v>
      </c>
      <c r="L115" s="98">
        <v>0</v>
      </c>
      <c r="M115" s="98">
        <v>114</v>
      </c>
    </row>
    <row r="116" spans="1:13" x14ac:dyDescent="0.3">
      <c r="A116" s="91" t="s">
        <v>925</v>
      </c>
      <c r="B116" s="91" t="s">
        <v>926</v>
      </c>
      <c r="D116" s="91" t="s">
        <v>357</v>
      </c>
      <c r="F116" s="98">
        <v>132</v>
      </c>
      <c r="G116" s="98">
        <v>0</v>
      </c>
      <c r="H116" s="98">
        <v>0</v>
      </c>
      <c r="J116" s="98">
        <v>132</v>
      </c>
      <c r="K116" s="98">
        <v>0</v>
      </c>
      <c r="L116" s="98">
        <v>0</v>
      </c>
      <c r="M116" s="98">
        <v>132</v>
      </c>
    </row>
    <row r="117" spans="1:13" x14ac:dyDescent="0.3">
      <c r="A117" s="91" t="s">
        <v>927</v>
      </c>
      <c r="B117" s="91" t="s">
        <v>928</v>
      </c>
      <c r="D117" s="91" t="s">
        <v>357</v>
      </c>
      <c r="F117" s="98">
        <v>0</v>
      </c>
      <c r="G117" s="98">
        <v>0</v>
      </c>
      <c r="H117" s="98">
        <v>0</v>
      </c>
      <c r="J117" s="98">
        <v>0</v>
      </c>
      <c r="K117" s="98">
        <v>396</v>
      </c>
      <c r="L117" s="98">
        <v>0</v>
      </c>
      <c r="M117" s="98">
        <v>396</v>
      </c>
    </row>
    <row r="118" spans="1:13" x14ac:dyDescent="0.3">
      <c r="A118" s="91" t="s">
        <v>929</v>
      </c>
      <c r="B118" s="91" t="s">
        <v>930</v>
      </c>
      <c r="D118" s="91" t="s">
        <v>357</v>
      </c>
      <c r="F118" s="98">
        <v>108</v>
      </c>
      <c r="G118" s="98">
        <v>36</v>
      </c>
      <c r="H118" s="98">
        <v>0</v>
      </c>
      <c r="J118" s="98">
        <v>72</v>
      </c>
      <c r="K118" s="98">
        <v>0</v>
      </c>
      <c r="L118" s="98">
        <v>0</v>
      </c>
      <c r="M118" s="98">
        <v>72</v>
      </c>
    </row>
    <row r="119" spans="1:13" x14ac:dyDescent="0.3">
      <c r="A119" s="91" t="s">
        <v>931</v>
      </c>
      <c r="B119" s="91" t="s">
        <v>932</v>
      </c>
      <c r="D119" s="91" t="s">
        <v>357</v>
      </c>
      <c r="F119" s="98">
        <v>0</v>
      </c>
      <c r="G119" s="98">
        <v>0</v>
      </c>
      <c r="H119" s="98">
        <v>0</v>
      </c>
      <c r="J119" s="98">
        <v>0</v>
      </c>
      <c r="K119" s="98">
        <v>708</v>
      </c>
      <c r="L119" s="98">
        <v>0</v>
      </c>
      <c r="M119" s="98">
        <v>708</v>
      </c>
    </row>
    <row r="120" spans="1:13" x14ac:dyDescent="0.3">
      <c r="A120" s="91" t="s">
        <v>251</v>
      </c>
      <c r="B120" s="91" t="s">
        <v>268</v>
      </c>
      <c r="D120" s="91" t="s">
        <v>357</v>
      </c>
      <c r="F120" s="98">
        <v>11616</v>
      </c>
      <c r="G120" s="98">
        <v>96</v>
      </c>
      <c r="H120" s="98">
        <v>0</v>
      </c>
      <c r="J120" s="98">
        <v>11520</v>
      </c>
      <c r="K120" s="98">
        <v>0</v>
      </c>
      <c r="L120" s="98">
        <v>0</v>
      </c>
      <c r="M120" s="98">
        <v>11520</v>
      </c>
    </row>
    <row r="121" spans="1:13" x14ac:dyDescent="0.3">
      <c r="A121" s="91" t="s">
        <v>933</v>
      </c>
      <c r="B121" s="91" t="s">
        <v>934</v>
      </c>
      <c r="D121" s="91" t="s">
        <v>357</v>
      </c>
      <c r="F121" s="98">
        <v>4104</v>
      </c>
      <c r="G121" s="98">
        <v>756</v>
      </c>
      <c r="H121" s="98">
        <v>0</v>
      </c>
      <c r="J121" s="98">
        <v>3348</v>
      </c>
      <c r="K121" s="98">
        <v>0</v>
      </c>
      <c r="L121" s="98">
        <v>0</v>
      </c>
      <c r="M121" s="98">
        <v>3348</v>
      </c>
    </row>
    <row r="122" spans="1:13" x14ac:dyDescent="0.3">
      <c r="A122" s="91" t="s">
        <v>935</v>
      </c>
      <c r="B122" s="91" t="s">
        <v>936</v>
      </c>
      <c r="D122" s="91" t="s">
        <v>357</v>
      </c>
      <c r="F122" s="98">
        <v>96</v>
      </c>
      <c r="G122" s="98">
        <v>0</v>
      </c>
      <c r="H122" s="98">
        <v>0</v>
      </c>
      <c r="J122" s="98">
        <v>96</v>
      </c>
      <c r="K122" s="98">
        <v>120</v>
      </c>
      <c r="L122" s="98">
        <v>0</v>
      </c>
      <c r="M122" s="98">
        <v>216</v>
      </c>
    </row>
    <row r="123" spans="1:13" x14ac:dyDescent="0.3">
      <c r="A123" s="91" t="s">
        <v>937</v>
      </c>
      <c r="B123" s="91" t="s">
        <v>938</v>
      </c>
      <c r="D123" s="91" t="s">
        <v>357</v>
      </c>
      <c r="F123" s="98">
        <v>1296</v>
      </c>
      <c r="G123" s="98">
        <v>0</v>
      </c>
      <c r="H123" s="98">
        <v>0</v>
      </c>
      <c r="J123" s="98">
        <v>1296</v>
      </c>
      <c r="K123" s="98">
        <v>0</v>
      </c>
      <c r="L123" s="98">
        <v>0</v>
      </c>
      <c r="M123" s="98">
        <v>1296</v>
      </c>
    </row>
    <row r="124" spans="1:13" x14ac:dyDescent="0.3">
      <c r="A124" s="91" t="s">
        <v>939</v>
      </c>
      <c r="B124" s="91" t="s">
        <v>940</v>
      </c>
      <c r="D124" s="91" t="s">
        <v>357</v>
      </c>
      <c r="F124" s="98">
        <v>192</v>
      </c>
      <c r="G124" s="98">
        <v>216</v>
      </c>
      <c r="H124" s="98">
        <v>0</v>
      </c>
      <c r="J124" s="98">
        <v>-24</v>
      </c>
      <c r="K124" s="98">
        <v>0</v>
      </c>
      <c r="L124" s="98">
        <v>0</v>
      </c>
      <c r="M124" s="98">
        <v>-24</v>
      </c>
    </row>
    <row r="125" spans="1:13" x14ac:dyDescent="0.3">
      <c r="A125" s="91" t="s">
        <v>941</v>
      </c>
      <c r="B125" s="91" t="s">
        <v>942</v>
      </c>
      <c r="D125" s="91" t="s">
        <v>357</v>
      </c>
      <c r="F125" s="98">
        <v>1020</v>
      </c>
      <c r="G125" s="98">
        <v>0</v>
      </c>
      <c r="H125" s="98">
        <v>0</v>
      </c>
      <c r="J125" s="98">
        <v>1020</v>
      </c>
      <c r="K125" s="98">
        <v>60</v>
      </c>
      <c r="L125" s="98">
        <v>0</v>
      </c>
      <c r="M125" s="98">
        <v>1080</v>
      </c>
    </row>
    <row r="126" spans="1:13" x14ac:dyDescent="0.3">
      <c r="A126" s="91" t="s">
        <v>943</v>
      </c>
      <c r="B126" s="91" t="s">
        <v>944</v>
      </c>
      <c r="D126" s="91" t="s">
        <v>357</v>
      </c>
      <c r="F126" s="98">
        <v>480</v>
      </c>
      <c r="G126" s="98">
        <v>12</v>
      </c>
      <c r="H126" s="98">
        <v>0</v>
      </c>
      <c r="J126" s="98">
        <v>468</v>
      </c>
      <c r="K126" s="98">
        <v>0</v>
      </c>
      <c r="L126" s="98">
        <v>0</v>
      </c>
      <c r="M126" s="98">
        <v>468</v>
      </c>
    </row>
    <row r="127" spans="1:13" x14ac:dyDescent="0.3">
      <c r="A127" s="91" t="s">
        <v>945</v>
      </c>
      <c r="B127" s="91" t="s">
        <v>946</v>
      </c>
      <c r="D127" s="91" t="s">
        <v>357</v>
      </c>
      <c r="F127" s="98">
        <v>1380</v>
      </c>
      <c r="G127" s="98">
        <v>252</v>
      </c>
      <c r="H127" s="98">
        <v>0</v>
      </c>
      <c r="J127" s="98">
        <v>1128</v>
      </c>
      <c r="K127" s="98">
        <v>0</v>
      </c>
      <c r="L127" s="98">
        <v>0</v>
      </c>
      <c r="M127" s="98">
        <v>1128</v>
      </c>
    </row>
    <row r="128" spans="1:13" x14ac:dyDescent="0.3">
      <c r="A128" s="91" t="s">
        <v>947</v>
      </c>
      <c r="B128" s="91" t="s">
        <v>948</v>
      </c>
      <c r="D128" s="91" t="s">
        <v>357</v>
      </c>
      <c r="F128" s="98">
        <v>24</v>
      </c>
      <c r="G128" s="98">
        <v>0</v>
      </c>
      <c r="H128" s="98">
        <v>0</v>
      </c>
      <c r="J128" s="98">
        <v>24</v>
      </c>
      <c r="K128" s="98">
        <v>0</v>
      </c>
      <c r="L128" s="98">
        <v>0</v>
      </c>
      <c r="M128" s="98">
        <v>24</v>
      </c>
    </row>
    <row r="129" spans="1:13" x14ac:dyDescent="0.3">
      <c r="A129" s="91" t="s">
        <v>252</v>
      </c>
      <c r="B129" s="91" t="s">
        <v>269</v>
      </c>
      <c r="D129" s="91" t="s">
        <v>357</v>
      </c>
      <c r="F129" s="98">
        <v>2952</v>
      </c>
      <c r="G129" s="98">
        <v>360</v>
      </c>
      <c r="H129" s="98">
        <v>0</v>
      </c>
      <c r="J129" s="98">
        <v>2592</v>
      </c>
      <c r="K129" s="98">
        <v>0</v>
      </c>
      <c r="L129" s="98">
        <v>0</v>
      </c>
      <c r="M129" s="98">
        <v>2592</v>
      </c>
    </row>
    <row r="130" spans="1:13" x14ac:dyDescent="0.3">
      <c r="A130" s="91" t="s">
        <v>949</v>
      </c>
      <c r="B130" s="91" t="s">
        <v>950</v>
      </c>
      <c r="D130" s="91" t="s">
        <v>357</v>
      </c>
      <c r="F130" s="98">
        <v>120</v>
      </c>
      <c r="G130" s="98">
        <v>300</v>
      </c>
      <c r="H130" s="98">
        <v>0</v>
      </c>
      <c r="J130" s="98">
        <v>-180</v>
      </c>
      <c r="K130" s="98">
        <v>0</v>
      </c>
      <c r="L130" s="98">
        <v>0</v>
      </c>
      <c r="M130" s="98">
        <v>-180</v>
      </c>
    </row>
    <row r="131" spans="1:13" x14ac:dyDescent="0.3">
      <c r="A131" s="91" t="s">
        <v>254</v>
      </c>
      <c r="B131" s="91" t="s">
        <v>271</v>
      </c>
      <c r="D131" s="91" t="s">
        <v>357</v>
      </c>
      <c r="F131" s="98">
        <v>120</v>
      </c>
      <c r="G131" s="98">
        <v>36</v>
      </c>
      <c r="H131" s="98">
        <v>0</v>
      </c>
      <c r="J131" s="98">
        <v>84</v>
      </c>
      <c r="K131" s="98">
        <v>0</v>
      </c>
      <c r="L131" s="98">
        <v>0</v>
      </c>
      <c r="M131" s="98">
        <v>84</v>
      </c>
    </row>
    <row r="132" spans="1:13" x14ac:dyDescent="0.3">
      <c r="A132" s="91" t="s">
        <v>951</v>
      </c>
      <c r="B132" s="91" t="s">
        <v>952</v>
      </c>
      <c r="D132" s="91" t="s">
        <v>357</v>
      </c>
      <c r="F132" s="98">
        <v>2364</v>
      </c>
      <c r="G132" s="98">
        <v>372</v>
      </c>
      <c r="H132" s="98">
        <v>0</v>
      </c>
      <c r="J132" s="98">
        <v>1992</v>
      </c>
      <c r="K132" s="98">
        <v>0</v>
      </c>
      <c r="L132" s="98">
        <v>0</v>
      </c>
      <c r="M132" s="98">
        <v>1992</v>
      </c>
    </row>
    <row r="133" spans="1:13" x14ac:dyDescent="0.3">
      <c r="A133" s="91" t="s">
        <v>953</v>
      </c>
      <c r="B133" s="91" t="s">
        <v>954</v>
      </c>
      <c r="D133" s="91" t="s">
        <v>357</v>
      </c>
      <c r="F133" s="98">
        <v>3336</v>
      </c>
      <c r="G133" s="98">
        <v>0</v>
      </c>
      <c r="H133" s="98">
        <v>0</v>
      </c>
      <c r="J133" s="98">
        <v>3336</v>
      </c>
      <c r="K133" s="98">
        <v>0</v>
      </c>
      <c r="L133" s="98">
        <v>0</v>
      </c>
      <c r="M133" s="98">
        <v>3336</v>
      </c>
    </row>
    <row r="134" spans="1:13" x14ac:dyDescent="0.3">
      <c r="A134" s="91" t="s">
        <v>955</v>
      </c>
      <c r="B134" s="91" t="s">
        <v>956</v>
      </c>
      <c r="D134" s="91" t="s">
        <v>357</v>
      </c>
      <c r="F134" s="98">
        <v>3924</v>
      </c>
      <c r="G134" s="98">
        <v>456</v>
      </c>
      <c r="H134" s="98">
        <v>0</v>
      </c>
      <c r="J134" s="98">
        <v>3468</v>
      </c>
      <c r="K134" s="98">
        <v>0</v>
      </c>
      <c r="L134" s="98">
        <v>0</v>
      </c>
      <c r="M134" s="98">
        <v>3468</v>
      </c>
    </row>
    <row r="135" spans="1:13" x14ac:dyDescent="0.3">
      <c r="A135" s="91" t="s">
        <v>957</v>
      </c>
      <c r="B135" s="91" t="s">
        <v>958</v>
      </c>
      <c r="D135" s="91" t="s">
        <v>357</v>
      </c>
      <c r="F135" s="98">
        <v>0</v>
      </c>
      <c r="G135" s="98">
        <v>0</v>
      </c>
      <c r="H135" s="98">
        <v>0</v>
      </c>
      <c r="J135" s="98">
        <v>0</v>
      </c>
      <c r="K135" s="98">
        <v>48</v>
      </c>
      <c r="L135" s="98">
        <v>0</v>
      </c>
      <c r="M135" s="98">
        <v>48</v>
      </c>
    </row>
    <row r="136" spans="1:13" x14ac:dyDescent="0.3">
      <c r="A136" s="91" t="s">
        <v>959</v>
      </c>
      <c r="B136" s="91" t="s">
        <v>960</v>
      </c>
      <c r="D136" s="91" t="s">
        <v>357</v>
      </c>
      <c r="F136" s="98">
        <v>816</v>
      </c>
      <c r="G136" s="98">
        <v>0</v>
      </c>
      <c r="H136" s="98">
        <v>0</v>
      </c>
      <c r="J136" s="98">
        <v>816</v>
      </c>
      <c r="K136" s="98">
        <v>384</v>
      </c>
      <c r="L136" s="98">
        <v>0</v>
      </c>
      <c r="M136" s="98">
        <v>1200</v>
      </c>
    </row>
    <row r="137" spans="1:13" x14ac:dyDescent="0.3">
      <c r="A137" s="91" t="s">
        <v>961</v>
      </c>
      <c r="B137" s="91" t="s">
        <v>962</v>
      </c>
      <c r="D137" s="91" t="s">
        <v>357</v>
      </c>
      <c r="F137" s="98">
        <v>0</v>
      </c>
      <c r="G137" s="98">
        <v>0</v>
      </c>
      <c r="H137" s="98">
        <v>0</v>
      </c>
      <c r="J137" s="98">
        <v>0</v>
      </c>
      <c r="K137" s="98">
        <v>96</v>
      </c>
      <c r="L137" s="98">
        <v>0</v>
      </c>
      <c r="M137" s="98">
        <v>96</v>
      </c>
    </row>
    <row r="138" spans="1:13" x14ac:dyDescent="0.3">
      <c r="A138" s="91" t="s">
        <v>963</v>
      </c>
      <c r="B138" s="91" t="s">
        <v>964</v>
      </c>
      <c r="D138" s="91" t="s">
        <v>357</v>
      </c>
      <c r="F138" s="98">
        <v>156</v>
      </c>
      <c r="G138" s="98">
        <v>108</v>
      </c>
      <c r="H138" s="98">
        <v>0</v>
      </c>
      <c r="J138" s="98">
        <v>48</v>
      </c>
      <c r="K138" s="98">
        <v>0</v>
      </c>
      <c r="L138" s="98">
        <v>0</v>
      </c>
      <c r="M138" s="98">
        <v>48</v>
      </c>
    </row>
    <row r="139" spans="1:13" x14ac:dyDescent="0.3">
      <c r="A139" s="91" t="s">
        <v>965</v>
      </c>
      <c r="B139" s="91" t="s">
        <v>966</v>
      </c>
      <c r="D139" s="91" t="s">
        <v>357</v>
      </c>
      <c r="F139" s="98">
        <v>0</v>
      </c>
      <c r="G139" s="98">
        <v>0</v>
      </c>
      <c r="H139" s="98">
        <v>0</v>
      </c>
      <c r="J139" s="98">
        <v>0</v>
      </c>
      <c r="K139" s="98">
        <v>60</v>
      </c>
      <c r="L139" s="98">
        <v>0</v>
      </c>
      <c r="M139" s="98">
        <v>60</v>
      </c>
    </row>
    <row r="140" spans="1:13" x14ac:dyDescent="0.3">
      <c r="A140" s="91" t="s">
        <v>967</v>
      </c>
      <c r="B140" s="91" t="s">
        <v>968</v>
      </c>
      <c r="D140" s="91" t="s">
        <v>357</v>
      </c>
      <c r="F140" s="98">
        <v>2472</v>
      </c>
      <c r="G140" s="98">
        <v>24</v>
      </c>
      <c r="H140" s="98">
        <v>0</v>
      </c>
      <c r="J140" s="98">
        <v>2448</v>
      </c>
      <c r="K140" s="98">
        <v>0</v>
      </c>
      <c r="L140" s="98">
        <v>0</v>
      </c>
      <c r="M140" s="98">
        <v>2448</v>
      </c>
    </row>
    <row r="141" spans="1:13" x14ac:dyDescent="0.3">
      <c r="A141" s="91" t="s">
        <v>969</v>
      </c>
      <c r="B141" s="91" t="s">
        <v>970</v>
      </c>
      <c r="D141" s="91" t="s">
        <v>357</v>
      </c>
      <c r="F141" s="98">
        <v>0</v>
      </c>
      <c r="G141" s="98">
        <v>0</v>
      </c>
      <c r="H141" s="98">
        <v>0</v>
      </c>
      <c r="J141" s="98">
        <v>0</v>
      </c>
      <c r="K141" s="98">
        <v>696</v>
      </c>
      <c r="L141" s="98">
        <v>0</v>
      </c>
      <c r="M141" s="98">
        <v>696</v>
      </c>
    </row>
    <row r="142" spans="1:13" x14ac:dyDescent="0.3">
      <c r="A142" s="91" t="s">
        <v>971</v>
      </c>
      <c r="B142" s="91" t="s">
        <v>972</v>
      </c>
      <c r="D142" s="91" t="s">
        <v>357</v>
      </c>
      <c r="F142" s="98">
        <v>0</v>
      </c>
      <c r="G142" s="98">
        <v>1320</v>
      </c>
      <c r="H142" s="98">
        <v>0</v>
      </c>
      <c r="J142" s="98">
        <v>-1320</v>
      </c>
      <c r="K142" s="98">
        <v>0</v>
      </c>
      <c r="L142" s="98">
        <v>0</v>
      </c>
      <c r="M142" s="98">
        <v>-1320</v>
      </c>
    </row>
    <row r="143" spans="1:13" x14ac:dyDescent="0.3">
      <c r="A143" s="91" t="s">
        <v>973</v>
      </c>
      <c r="B143" s="91" t="s">
        <v>974</v>
      </c>
      <c r="D143" s="91" t="s">
        <v>357</v>
      </c>
      <c r="F143" s="98">
        <v>1968</v>
      </c>
      <c r="G143" s="98">
        <v>120</v>
      </c>
      <c r="H143" s="98">
        <v>0</v>
      </c>
      <c r="J143" s="98">
        <v>1848</v>
      </c>
      <c r="K143" s="98">
        <v>0</v>
      </c>
      <c r="L143" s="98">
        <v>0</v>
      </c>
      <c r="M143" s="98">
        <v>1848</v>
      </c>
    </row>
    <row r="144" spans="1:13" x14ac:dyDescent="0.3">
      <c r="A144" s="91" t="s">
        <v>975</v>
      </c>
      <c r="B144" s="91" t="s">
        <v>976</v>
      </c>
      <c r="D144" s="91" t="s">
        <v>357</v>
      </c>
      <c r="F144" s="98">
        <v>672</v>
      </c>
      <c r="G144" s="98">
        <v>336</v>
      </c>
      <c r="H144" s="98">
        <v>0</v>
      </c>
      <c r="J144" s="98">
        <v>336</v>
      </c>
      <c r="K144" s="98">
        <v>0</v>
      </c>
      <c r="L144" s="98">
        <v>0</v>
      </c>
      <c r="M144" s="98">
        <v>336</v>
      </c>
    </row>
    <row r="145" spans="1:13" x14ac:dyDescent="0.3">
      <c r="A145" s="91" t="s">
        <v>977</v>
      </c>
      <c r="B145" s="91" t="s">
        <v>978</v>
      </c>
      <c r="D145" s="91" t="s">
        <v>357</v>
      </c>
      <c r="F145" s="98">
        <v>168</v>
      </c>
      <c r="G145" s="98">
        <v>24</v>
      </c>
      <c r="H145" s="98">
        <v>0</v>
      </c>
      <c r="J145" s="98">
        <v>144</v>
      </c>
      <c r="K145" s="98">
        <v>0</v>
      </c>
      <c r="L145" s="98">
        <v>0</v>
      </c>
      <c r="M145" s="98">
        <v>144</v>
      </c>
    </row>
    <row r="146" spans="1:13" x14ac:dyDescent="0.3">
      <c r="A146" s="91" t="s">
        <v>979</v>
      </c>
      <c r="B146" s="91" t="s">
        <v>980</v>
      </c>
      <c r="D146" s="91" t="s">
        <v>357</v>
      </c>
      <c r="F146" s="98">
        <v>96</v>
      </c>
      <c r="G146" s="98">
        <v>24</v>
      </c>
      <c r="H146" s="98">
        <v>0</v>
      </c>
      <c r="J146" s="98">
        <v>72</v>
      </c>
      <c r="K146" s="98">
        <v>0</v>
      </c>
      <c r="L146" s="98">
        <v>0</v>
      </c>
      <c r="M146" s="98">
        <v>72</v>
      </c>
    </row>
    <row r="147" spans="1:13" x14ac:dyDescent="0.3">
      <c r="A147" s="91" t="s">
        <v>981</v>
      </c>
      <c r="B147" s="91" t="s">
        <v>982</v>
      </c>
      <c r="D147" s="91" t="s">
        <v>357</v>
      </c>
      <c r="F147" s="98">
        <v>0</v>
      </c>
      <c r="G147" s="98">
        <v>0</v>
      </c>
      <c r="H147" s="98">
        <v>0</v>
      </c>
      <c r="J147" s="98">
        <v>0</v>
      </c>
      <c r="K147" s="98">
        <v>24</v>
      </c>
      <c r="L147" s="98">
        <v>0</v>
      </c>
      <c r="M147" s="98">
        <v>24</v>
      </c>
    </row>
    <row r="148" spans="1:13" x14ac:dyDescent="0.3">
      <c r="A148" s="91" t="s">
        <v>983</v>
      </c>
      <c r="B148" s="91" t="s">
        <v>984</v>
      </c>
      <c r="D148" s="91" t="s">
        <v>357</v>
      </c>
      <c r="F148" s="98">
        <v>0</v>
      </c>
      <c r="G148" s="98">
        <v>0</v>
      </c>
      <c r="H148" s="98">
        <v>0</v>
      </c>
      <c r="J148" s="98">
        <v>0</v>
      </c>
      <c r="K148" s="98">
        <v>24</v>
      </c>
      <c r="L148" s="98">
        <v>0</v>
      </c>
      <c r="M148" s="98">
        <v>24</v>
      </c>
    </row>
    <row r="149" spans="1:13" x14ac:dyDescent="0.3">
      <c r="A149" s="91" t="s">
        <v>985</v>
      </c>
      <c r="B149" s="91" t="s">
        <v>986</v>
      </c>
      <c r="D149" s="91" t="s">
        <v>357</v>
      </c>
      <c r="F149" s="98">
        <v>0</v>
      </c>
      <c r="G149" s="98">
        <v>0</v>
      </c>
      <c r="H149" s="98">
        <v>0</v>
      </c>
      <c r="J149" s="98">
        <v>0</v>
      </c>
      <c r="K149" s="98">
        <v>120</v>
      </c>
      <c r="L149" s="98">
        <v>0</v>
      </c>
      <c r="M149" s="98">
        <v>120</v>
      </c>
    </row>
    <row r="150" spans="1:13" x14ac:dyDescent="0.3">
      <c r="A150" s="91" t="s">
        <v>987</v>
      </c>
      <c r="B150" s="91" t="s">
        <v>988</v>
      </c>
      <c r="D150" s="91" t="s">
        <v>357</v>
      </c>
      <c r="F150" s="98">
        <v>0</v>
      </c>
      <c r="G150" s="98">
        <v>288</v>
      </c>
      <c r="H150" s="98">
        <v>0</v>
      </c>
      <c r="J150" s="98">
        <v>-288</v>
      </c>
      <c r="K150" s="98">
        <v>0</v>
      </c>
      <c r="L150" s="98">
        <v>0</v>
      </c>
      <c r="M150" s="98">
        <v>-288</v>
      </c>
    </row>
    <row r="151" spans="1:13" x14ac:dyDescent="0.3">
      <c r="A151" s="91" t="s">
        <v>989</v>
      </c>
      <c r="B151" s="91" t="s">
        <v>990</v>
      </c>
      <c r="D151" s="91" t="s">
        <v>357</v>
      </c>
      <c r="F151" s="98">
        <v>0</v>
      </c>
      <c r="G151" s="98">
        <v>0</v>
      </c>
      <c r="H151" s="98">
        <v>0</v>
      </c>
      <c r="J151" s="98">
        <v>0</v>
      </c>
      <c r="K151" s="98">
        <v>60</v>
      </c>
      <c r="L151" s="98">
        <v>0</v>
      </c>
      <c r="M151" s="98">
        <v>60</v>
      </c>
    </row>
    <row r="152" spans="1:13" x14ac:dyDescent="0.3">
      <c r="A152" s="91" t="s">
        <v>991</v>
      </c>
      <c r="B152" s="91" t="s">
        <v>992</v>
      </c>
      <c r="D152" s="91" t="s">
        <v>357</v>
      </c>
      <c r="F152" s="98">
        <v>0</v>
      </c>
      <c r="G152" s="98">
        <v>0</v>
      </c>
      <c r="H152" s="98">
        <v>0</v>
      </c>
      <c r="J152" s="98">
        <v>0</v>
      </c>
      <c r="K152" s="98">
        <v>36</v>
      </c>
      <c r="L152" s="98">
        <v>0</v>
      </c>
      <c r="M152" s="98">
        <v>36</v>
      </c>
    </row>
    <row r="153" spans="1:13" x14ac:dyDescent="0.3">
      <c r="A153" s="91" t="s">
        <v>993</v>
      </c>
      <c r="B153" s="91" t="s">
        <v>994</v>
      </c>
      <c r="D153" s="91" t="s">
        <v>357</v>
      </c>
      <c r="F153" s="98">
        <v>0</v>
      </c>
      <c r="G153" s="98">
        <v>0</v>
      </c>
      <c r="H153" s="98">
        <v>0</v>
      </c>
      <c r="J153" s="98">
        <v>0</v>
      </c>
      <c r="K153" s="98">
        <v>60</v>
      </c>
      <c r="L153" s="98">
        <v>0</v>
      </c>
      <c r="M153" s="98">
        <v>60</v>
      </c>
    </row>
    <row r="154" spans="1:13" x14ac:dyDescent="0.3">
      <c r="A154" s="91" t="s">
        <v>995</v>
      </c>
      <c r="B154" s="91" t="s">
        <v>996</v>
      </c>
      <c r="D154" s="91" t="s">
        <v>357</v>
      </c>
      <c r="F154" s="98">
        <v>0</v>
      </c>
      <c r="G154" s="98">
        <v>0</v>
      </c>
      <c r="H154" s="98">
        <v>0</v>
      </c>
      <c r="J154" s="98">
        <v>0</v>
      </c>
      <c r="K154" s="98">
        <v>60</v>
      </c>
      <c r="L154" s="98">
        <v>0</v>
      </c>
      <c r="M154" s="98">
        <v>60</v>
      </c>
    </row>
    <row r="155" spans="1:13" x14ac:dyDescent="0.3">
      <c r="A155" s="91" t="s">
        <v>997</v>
      </c>
      <c r="B155" s="91" t="s">
        <v>998</v>
      </c>
      <c r="D155" s="91" t="s">
        <v>357</v>
      </c>
      <c r="F155" s="98">
        <v>0</v>
      </c>
      <c r="G155" s="98">
        <v>0</v>
      </c>
      <c r="H155" s="98">
        <v>0</v>
      </c>
      <c r="J155" s="98">
        <v>0</v>
      </c>
      <c r="K155" s="98">
        <v>36</v>
      </c>
      <c r="L155" s="98">
        <v>0</v>
      </c>
      <c r="M155" s="98">
        <v>36</v>
      </c>
    </row>
    <row r="156" spans="1:13" x14ac:dyDescent="0.3">
      <c r="A156" s="91" t="s">
        <v>999</v>
      </c>
      <c r="B156" s="91" t="s">
        <v>1000</v>
      </c>
      <c r="D156" s="91" t="s">
        <v>357</v>
      </c>
      <c r="F156" s="98">
        <v>0</v>
      </c>
      <c r="G156" s="98">
        <v>0</v>
      </c>
      <c r="H156" s="98">
        <v>0</v>
      </c>
      <c r="J156" s="98">
        <v>0</v>
      </c>
      <c r="K156" s="98">
        <v>120</v>
      </c>
      <c r="L156" s="98">
        <v>0</v>
      </c>
      <c r="M156" s="98">
        <v>120</v>
      </c>
    </row>
    <row r="157" spans="1:13" x14ac:dyDescent="0.3">
      <c r="A157" s="91" t="s">
        <v>1001</v>
      </c>
      <c r="B157" s="91" t="s">
        <v>1002</v>
      </c>
      <c r="D157" s="91" t="s">
        <v>357</v>
      </c>
      <c r="F157" s="98">
        <v>0</v>
      </c>
      <c r="G157" s="98">
        <v>1176</v>
      </c>
      <c r="H157" s="98">
        <v>0</v>
      </c>
      <c r="J157" s="98">
        <v>-1176</v>
      </c>
      <c r="K157" s="98">
        <v>0</v>
      </c>
      <c r="L157" s="98">
        <v>0</v>
      </c>
      <c r="M157" s="98">
        <v>-1176</v>
      </c>
    </row>
    <row r="158" spans="1:13" x14ac:dyDescent="0.3">
      <c r="A158" s="91" t="s">
        <v>1003</v>
      </c>
      <c r="B158" s="91" t="s">
        <v>1004</v>
      </c>
      <c r="D158" s="91" t="s">
        <v>357</v>
      </c>
      <c r="F158" s="98">
        <v>0</v>
      </c>
      <c r="G158" s="98">
        <v>0</v>
      </c>
      <c r="H158" s="98">
        <v>0</v>
      </c>
      <c r="J158" s="98">
        <v>0</v>
      </c>
      <c r="K158" s="98">
        <v>216</v>
      </c>
      <c r="L158" s="98">
        <v>0</v>
      </c>
      <c r="M158" s="98">
        <v>216</v>
      </c>
    </row>
    <row r="159" spans="1:13" x14ac:dyDescent="0.3">
      <c r="A159" s="91" t="s">
        <v>1005</v>
      </c>
      <c r="B159" s="91" t="s">
        <v>1006</v>
      </c>
      <c r="D159" s="91" t="s">
        <v>357</v>
      </c>
      <c r="F159" s="98">
        <v>0</v>
      </c>
      <c r="G159" s="98">
        <v>0</v>
      </c>
      <c r="H159" s="98">
        <v>0</v>
      </c>
      <c r="J159" s="98">
        <v>0</v>
      </c>
      <c r="K159" s="98">
        <v>360</v>
      </c>
      <c r="L159" s="98">
        <v>0</v>
      </c>
      <c r="M159" s="98">
        <v>360</v>
      </c>
    </row>
    <row r="160" spans="1:13" x14ac:dyDescent="0.3">
      <c r="A160" s="91" t="s">
        <v>1007</v>
      </c>
      <c r="B160" s="91" t="s">
        <v>1008</v>
      </c>
      <c r="D160" s="91" t="s">
        <v>357</v>
      </c>
      <c r="F160" s="98">
        <v>0</v>
      </c>
      <c r="G160" s="98">
        <v>0</v>
      </c>
      <c r="H160" s="98">
        <v>0</v>
      </c>
      <c r="J160" s="98">
        <v>0</v>
      </c>
      <c r="K160" s="98">
        <v>360</v>
      </c>
      <c r="L160" s="98">
        <v>0</v>
      </c>
      <c r="M160" s="98">
        <v>360</v>
      </c>
    </row>
    <row r="161" spans="1:13" x14ac:dyDescent="0.3">
      <c r="A161" s="91" t="s">
        <v>1009</v>
      </c>
      <c r="B161" s="91" t="s">
        <v>1010</v>
      </c>
      <c r="D161" s="91" t="s">
        <v>357</v>
      </c>
      <c r="F161" s="98">
        <v>0</v>
      </c>
      <c r="G161" s="98">
        <v>0</v>
      </c>
      <c r="H161" s="98">
        <v>0</v>
      </c>
      <c r="J161" s="98">
        <v>0</v>
      </c>
      <c r="K161" s="98">
        <v>120</v>
      </c>
      <c r="L161" s="98">
        <v>0</v>
      </c>
      <c r="M161" s="98">
        <v>120</v>
      </c>
    </row>
    <row r="162" spans="1:13" x14ac:dyDescent="0.3">
      <c r="A162" s="91" t="s">
        <v>1011</v>
      </c>
      <c r="B162" s="91" t="s">
        <v>1012</v>
      </c>
      <c r="D162" s="91" t="s">
        <v>357</v>
      </c>
      <c r="F162" s="98">
        <v>0</v>
      </c>
      <c r="G162" s="98">
        <v>0</v>
      </c>
      <c r="H162" s="98">
        <v>0</v>
      </c>
      <c r="J162" s="98">
        <v>0</v>
      </c>
      <c r="K162" s="98">
        <v>72</v>
      </c>
      <c r="L162" s="98">
        <v>0</v>
      </c>
      <c r="M162" s="98">
        <v>72</v>
      </c>
    </row>
    <row r="163" spans="1:13" x14ac:dyDescent="0.3">
      <c r="A163" s="91" t="s">
        <v>1013</v>
      </c>
      <c r="B163" s="91" t="s">
        <v>1014</v>
      </c>
      <c r="D163" s="91" t="s">
        <v>357</v>
      </c>
      <c r="F163" s="98">
        <v>0</v>
      </c>
      <c r="G163" s="98">
        <v>0</v>
      </c>
      <c r="H163" s="98">
        <v>0</v>
      </c>
      <c r="J163" s="98">
        <v>0</v>
      </c>
      <c r="K163" s="98">
        <v>72</v>
      </c>
      <c r="L163" s="98">
        <v>0</v>
      </c>
      <c r="M163" s="98">
        <v>72</v>
      </c>
    </row>
    <row r="164" spans="1:13" x14ac:dyDescent="0.3">
      <c r="A164" s="91" t="s">
        <v>1015</v>
      </c>
      <c r="B164" s="91" t="s">
        <v>1016</v>
      </c>
      <c r="D164" s="91" t="s">
        <v>357</v>
      </c>
      <c r="F164" s="98">
        <v>912</v>
      </c>
      <c r="G164" s="98">
        <v>72</v>
      </c>
      <c r="H164" s="98">
        <v>0</v>
      </c>
      <c r="J164" s="98">
        <v>840</v>
      </c>
      <c r="K164" s="98">
        <v>108</v>
      </c>
      <c r="L164" s="98">
        <v>0</v>
      </c>
      <c r="M164" s="98">
        <v>948</v>
      </c>
    </row>
    <row r="165" spans="1:13" x14ac:dyDescent="0.3">
      <c r="A165" s="91" t="s">
        <v>1017</v>
      </c>
      <c r="B165" s="91" t="s">
        <v>1018</v>
      </c>
      <c r="D165" s="91" t="s">
        <v>357</v>
      </c>
      <c r="F165" s="98">
        <v>0</v>
      </c>
      <c r="G165" s="98">
        <v>0</v>
      </c>
      <c r="H165" s="98">
        <v>0</v>
      </c>
      <c r="J165" s="98">
        <v>0</v>
      </c>
      <c r="K165" s="98">
        <v>360</v>
      </c>
      <c r="L165" s="98">
        <v>0</v>
      </c>
      <c r="M165" s="98">
        <v>360</v>
      </c>
    </row>
    <row r="166" spans="1:13" x14ac:dyDescent="0.3">
      <c r="A166" s="91" t="s">
        <v>1019</v>
      </c>
      <c r="B166" s="91" t="s">
        <v>1020</v>
      </c>
      <c r="D166" s="91" t="s">
        <v>357</v>
      </c>
      <c r="F166" s="98">
        <v>0</v>
      </c>
      <c r="G166" s="98">
        <v>0</v>
      </c>
      <c r="H166" s="98">
        <v>0</v>
      </c>
      <c r="J166" s="98">
        <v>0</v>
      </c>
      <c r="K166" s="98">
        <v>180</v>
      </c>
      <c r="L166" s="98">
        <v>0</v>
      </c>
      <c r="M166" s="98">
        <v>180</v>
      </c>
    </row>
    <row r="167" spans="1:13" x14ac:dyDescent="0.3">
      <c r="A167" s="91" t="s">
        <v>256</v>
      </c>
      <c r="B167" s="91" t="s">
        <v>175</v>
      </c>
      <c r="D167" s="91" t="s">
        <v>357</v>
      </c>
      <c r="F167" s="98">
        <v>4980</v>
      </c>
      <c r="G167" s="98">
        <v>636</v>
      </c>
      <c r="H167" s="98">
        <v>0</v>
      </c>
      <c r="J167" s="98">
        <v>4344</v>
      </c>
      <c r="K167" s="98">
        <v>0</v>
      </c>
      <c r="L167" s="98">
        <v>0</v>
      </c>
      <c r="M167" s="98">
        <v>4344</v>
      </c>
    </row>
    <row r="168" spans="1:13" x14ac:dyDescent="0.3">
      <c r="A168" s="91" t="s">
        <v>1021</v>
      </c>
      <c r="B168" s="91" t="s">
        <v>1022</v>
      </c>
      <c r="D168" s="91" t="s">
        <v>357</v>
      </c>
      <c r="F168" s="98">
        <v>288</v>
      </c>
      <c r="G168" s="98">
        <v>0</v>
      </c>
      <c r="H168" s="98">
        <v>0</v>
      </c>
      <c r="J168" s="98">
        <v>288</v>
      </c>
      <c r="K168" s="98">
        <v>0</v>
      </c>
      <c r="L168" s="98">
        <v>0</v>
      </c>
      <c r="M168" s="98">
        <v>288</v>
      </c>
    </row>
    <row r="169" spans="1:13" x14ac:dyDescent="0.3">
      <c r="A169" s="91" t="s">
        <v>1023</v>
      </c>
      <c r="B169" s="91" t="s">
        <v>1024</v>
      </c>
      <c r="D169" s="91" t="s">
        <v>357</v>
      </c>
      <c r="F169" s="98">
        <v>12</v>
      </c>
      <c r="G169" s="98">
        <v>12</v>
      </c>
      <c r="H169" s="98">
        <v>0</v>
      </c>
      <c r="J169" s="98">
        <v>0</v>
      </c>
      <c r="K169" s="98">
        <v>0</v>
      </c>
      <c r="L169" s="98">
        <v>0</v>
      </c>
      <c r="M169" s="98">
        <v>0</v>
      </c>
    </row>
    <row r="170" spans="1:13" x14ac:dyDescent="0.3">
      <c r="A170" s="91" t="s">
        <v>1025</v>
      </c>
      <c r="B170" s="91" t="s">
        <v>1026</v>
      </c>
      <c r="D170" s="91" t="s">
        <v>357</v>
      </c>
      <c r="F170" s="98">
        <v>0</v>
      </c>
      <c r="G170" s="98">
        <v>0</v>
      </c>
      <c r="H170" s="98">
        <v>0</v>
      </c>
      <c r="J170" s="98">
        <v>0</v>
      </c>
      <c r="K170" s="98">
        <v>720</v>
      </c>
      <c r="L170" s="98">
        <v>0</v>
      </c>
      <c r="M170" s="98">
        <v>720</v>
      </c>
    </row>
    <row r="171" spans="1:13" x14ac:dyDescent="0.3">
      <c r="A171" s="91" t="s">
        <v>1027</v>
      </c>
      <c r="B171" s="91" t="s">
        <v>1028</v>
      </c>
      <c r="D171" s="91" t="s">
        <v>357</v>
      </c>
      <c r="F171" s="98">
        <v>1080</v>
      </c>
      <c r="G171" s="98">
        <v>336</v>
      </c>
      <c r="H171" s="98">
        <v>0</v>
      </c>
      <c r="J171" s="98">
        <v>744</v>
      </c>
      <c r="K171" s="98">
        <v>1020</v>
      </c>
      <c r="L171" s="98">
        <v>0</v>
      </c>
      <c r="M171" s="98">
        <v>1764</v>
      </c>
    </row>
    <row r="172" spans="1:13" x14ac:dyDescent="0.3">
      <c r="A172" s="91" t="s">
        <v>1029</v>
      </c>
      <c r="B172" s="91" t="s">
        <v>1030</v>
      </c>
      <c r="D172" s="91" t="s">
        <v>357</v>
      </c>
      <c r="F172" s="98">
        <v>24</v>
      </c>
      <c r="G172" s="98">
        <v>0</v>
      </c>
      <c r="H172" s="98">
        <v>0</v>
      </c>
      <c r="J172" s="98">
        <v>24</v>
      </c>
      <c r="K172" s="98">
        <v>3312</v>
      </c>
      <c r="L172" s="98">
        <v>0</v>
      </c>
      <c r="M172" s="98">
        <v>3336</v>
      </c>
    </row>
    <row r="173" spans="1:13" x14ac:dyDescent="0.3">
      <c r="A173" s="91" t="s">
        <v>68</v>
      </c>
      <c r="B173" s="91" t="s">
        <v>273</v>
      </c>
      <c r="D173" s="91" t="s">
        <v>357</v>
      </c>
      <c r="F173" s="98">
        <v>5016</v>
      </c>
      <c r="G173" s="98">
        <v>768</v>
      </c>
      <c r="H173" s="98">
        <v>0</v>
      </c>
      <c r="J173" s="98">
        <v>4248</v>
      </c>
      <c r="K173" s="98">
        <v>0</v>
      </c>
      <c r="L173" s="98">
        <v>0</v>
      </c>
      <c r="M173" s="98">
        <v>4248</v>
      </c>
    </row>
    <row r="174" spans="1:13" x14ac:dyDescent="0.3">
      <c r="A174" s="91" t="s">
        <v>1031</v>
      </c>
      <c r="B174" s="91" t="s">
        <v>1032</v>
      </c>
      <c r="D174" s="91" t="s">
        <v>357</v>
      </c>
      <c r="F174" s="98">
        <v>0</v>
      </c>
      <c r="G174" s="98">
        <v>24</v>
      </c>
      <c r="H174" s="98">
        <v>0</v>
      </c>
      <c r="J174" s="98">
        <v>-24</v>
      </c>
      <c r="K174" s="98">
        <v>0</v>
      </c>
      <c r="L174" s="98">
        <v>0</v>
      </c>
      <c r="M174" s="98">
        <v>-24</v>
      </c>
    </row>
    <row r="175" spans="1:13" x14ac:dyDescent="0.3">
      <c r="A175" s="91" t="s">
        <v>1033</v>
      </c>
      <c r="B175" s="91" t="s">
        <v>1034</v>
      </c>
      <c r="D175" s="91" t="s">
        <v>357</v>
      </c>
      <c r="F175" s="98">
        <v>0</v>
      </c>
      <c r="G175" s="98">
        <v>24</v>
      </c>
      <c r="H175" s="98">
        <v>0</v>
      </c>
      <c r="J175" s="98">
        <v>-24</v>
      </c>
      <c r="K175" s="98">
        <v>0</v>
      </c>
      <c r="L175" s="98">
        <v>0</v>
      </c>
      <c r="M175" s="98">
        <v>-24</v>
      </c>
    </row>
    <row r="176" spans="1:13" x14ac:dyDescent="0.3">
      <c r="A176" s="91" t="s">
        <v>1035</v>
      </c>
      <c r="B176" s="91" t="s">
        <v>659</v>
      </c>
      <c r="D176" s="91" t="s">
        <v>357</v>
      </c>
      <c r="F176" s="98">
        <v>768</v>
      </c>
      <c r="G176" s="98">
        <v>0</v>
      </c>
      <c r="H176" s="98">
        <v>0</v>
      </c>
      <c r="J176" s="98">
        <v>768</v>
      </c>
      <c r="K176" s="98">
        <v>444</v>
      </c>
      <c r="L176" s="98">
        <v>0</v>
      </c>
      <c r="M176" s="98">
        <v>1212</v>
      </c>
    </row>
    <row r="177" spans="1:13" x14ac:dyDescent="0.3">
      <c r="A177" s="91" t="s">
        <v>1036</v>
      </c>
      <c r="B177" s="91" t="s">
        <v>1037</v>
      </c>
      <c r="D177" s="91" t="s">
        <v>357</v>
      </c>
      <c r="F177" s="98">
        <v>540</v>
      </c>
      <c r="G177" s="98">
        <v>72</v>
      </c>
      <c r="H177" s="98">
        <v>0</v>
      </c>
      <c r="J177" s="98">
        <v>468</v>
      </c>
      <c r="K177" s="98">
        <v>192</v>
      </c>
      <c r="L177" s="98">
        <v>0</v>
      </c>
      <c r="M177" s="98">
        <v>660</v>
      </c>
    </row>
    <row r="178" spans="1:13" x14ac:dyDescent="0.3">
      <c r="A178" s="91" t="s">
        <v>1038</v>
      </c>
      <c r="B178" s="91" t="s">
        <v>1039</v>
      </c>
      <c r="D178" s="91" t="s">
        <v>357</v>
      </c>
      <c r="F178" s="98">
        <v>0</v>
      </c>
      <c r="G178" s="98">
        <v>24</v>
      </c>
      <c r="H178" s="98">
        <v>0</v>
      </c>
      <c r="J178" s="98">
        <v>-24</v>
      </c>
      <c r="K178" s="98">
        <v>0</v>
      </c>
      <c r="L178" s="98">
        <v>0</v>
      </c>
      <c r="M178" s="98">
        <v>-24</v>
      </c>
    </row>
    <row r="179" spans="1:13" x14ac:dyDescent="0.3">
      <c r="A179" s="91" t="s">
        <v>708</v>
      </c>
      <c r="B179" s="91" t="s">
        <v>1040</v>
      </c>
      <c r="D179" s="91" t="s">
        <v>357</v>
      </c>
      <c r="F179" s="98">
        <v>12</v>
      </c>
      <c r="G179" s="98">
        <v>0</v>
      </c>
      <c r="H179" s="98">
        <v>0</v>
      </c>
      <c r="J179" s="98">
        <v>12</v>
      </c>
      <c r="K179" s="98">
        <v>1680</v>
      </c>
      <c r="L179" s="98">
        <v>0</v>
      </c>
      <c r="M179" s="98">
        <v>1692</v>
      </c>
    </row>
    <row r="180" spans="1:13" x14ac:dyDescent="0.3">
      <c r="A180" s="91" t="s">
        <v>1041</v>
      </c>
      <c r="B180" s="91" t="s">
        <v>1042</v>
      </c>
      <c r="D180" s="91" t="s">
        <v>357</v>
      </c>
      <c r="F180" s="98">
        <v>6</v>
      </c>
      <c r="G180" s="98">
        <v>0</v>
      </c>
      <c r="H180" s="98">
        <v>0</v>
      </c>
      <c r="J180" s="98">
        <v>6</v>
      </c>
      <c r="K180" s="98">
        <v>0</v>
      </c>
      <c r="L180" s="98">
        <v>0</v>
      </c>
      <c r="M180" s="98">
        <v>6</v>
      </c>
    </row>
    <row r="181" spans="1:13" x14ac:dyDescent="0.3">
      <c r="A181" s="91" t="s">
        <v>1043</v>
      </c>
      <c r="B181" s="91" t="s">
        <v>1044</v>
      </c>
      <c r="D181" s="91" t="s">
        <v>357</v>
      </c>
      <c r="F181" s="98">
        <v>3120</v>
      </c>
      <c r="G181" s="98">
        <v>552</v>
      </c>
      <c r="H181" s="98">
        <v>0</v>
      </c>
      <c r="J181" s="98">
        <v>2568</v>
      </c>
      <c r="K181" s="98">
        <v>0</v>
      </c>
      <c r="L181" s="98">
        <v>0</v>
      </c>
      <c r="M181" s="98">
        <v>2568</v>
      </c>
    </row>
    <row r="182" spans="1:13" x14ac:dyDescent="0.3">
      <c r="A182" s="91" t="s">
        <v>1045</v>
      </c>
      <c r="B182" s="91" t="s">
        <v>1046</v>
      </c>
      <c r="D182" s="91" t="s">
        <v>357</v>
      </c>
      <c r="F182" s="98">
        <v>3720</v>
      </c>
      <c r="G182" s="98">
        <v>864</v>
      </c>
      <c r="H182" s="98">
        <v>0</v>
      </c>
      <c r="J182" s="98">
        <v>2856</v>
      </c>
      <c r="K182" s="98">
        <v>2712</v>
      </c>
      <c r="L182" s="98">
        <v>0</v>
      </c>
      <c r="M182" s="98">
        <v>5568</v>
      </c>
    </row>
    <row r="183" spans="1:13" x14ac:dyDescent="0.3">
      <c r="A183" s="91" t="s">
        <v>1047</v>
      </c>
      <c r="B183" s="91" t="s">
        <v>1048</v>
      </c>
      <c r="D183" s="91" t="s">
        <v>357</v>
      </c>
      <c r="F183" s="98">
        <v>0</v>
      </c>
      <c r="G183" s="98">
        <v>0</v>
      </c>
      <c r="H183" s="98">
        <v>0</v>
      </c>
      <c r="J183" s="98">
        <v>0</v>
      </c>
      <c r="K183" s="98">
        <v>744</v>
      </c>
      <c r="L183" s="98">
        <v>0</v>
      </c>
      <c r="M183" s="98">
        <v>744</v>
      </c>
    </row>
    <row r="184" spans="1:13" x14ac:dyDescent="0.3">
      <c r="A184" s="91" t="s">
        <v>1049</v>
      </c>
      <c r="B184" s="91" t="s">
        <v>1050</v>
      </c>
      <c r="D184" s="91" t="s">
        <v>357</v>
      </c>
      <c r="F184" s="98">
        <v>0</v>
      </c>
      <c r="G184" s="98">
        <v>120</v>
      </c>
      <c r="H184" s="98">
        <v>0</v>
      </c>
      <c r="J184" s="98">
        <v>-120</v>
      </c>
      <c r="K184" s="98">
        <v>0</v>
      </c>
      <c r="L184" s="98">
        <v>0</v>
      </c>
      <c r="M184" s="98">
        <v>-120</v>
      </c>
    </row>
    <row r="185" spans="1:13" x14ac:dyDescent="0.3">
      <c r="A185" s="91" t="s">
        <v>1051</v>
      </c>
      <c r="B185" s="91" t="s">
        <v>1052</v>
      </c>
      <c r="D185" s="91" t="s">
        <v>357</v>
      </c>
      <c r="F185" s="98">
        <v>24</v>
      </c>
      <c r="G185" s="98">
        <v>144</v>
      </c>
      <c r="H185" s="98">
        <v>0</v>
      </c>
      <c r="J185" s="98">
        <v>-120</v>
      </c>
      <c r="K185" s="98">
        <v>936</v>
      </c>
      <c r="L185" s="98">
        <v>0</v>
      </c>
      <c r="M185" s="98">
        <v>816</v>
      </c>
    </row>
    <row r="186" spans="1:13" x14ac:dyDescent="0.3">
      <c r="A186" s="91" t="s">
        <v>1053</v>
      </c>
      <c r="B186" s="91" t="s">
        <v>1054</v>
      </c>
      <c r="D186" s="91" t="s">
        <v>357</v>
      </c>
      <c r="F186" s="98">
        <v>2904</v>
      </c>
      <c r="G186" s="98">
        <v>2448</v>
      </c>
      <c r="H186" s="98">
        <v>0</v>
      </c>
      <c r="J186" s="98">
        <v>456</v>
      </c>
      <c r="K186" s="98">
        <v>576</v>
      </c>
      <c r="L186" s="98">
        <v>0</v>
      </c>
      <c r="M186" s="98">
        <v>1032</v>
      </c>
    </row>
    <row r="187" spans="1:13" x14ac:dyDescent="0.3">
      <c r="A187" s="91" t="s">
        <v>257</v>
      </c>
      <c r="B187" s="91" t="s">
        <v>1055</v>
      </c>
      <c r="D187" s="91" t="s">
        <v>357</v>
      </c>
      <c r="F187" s="98">
        <v>0</v>
      </c>
      <c r="G187" s="98">
        <v>516</v>
      </c>
      <c r="H187" s="98">
        <v>0</v>
      </c>
      <c r="J187" s="98">
        <v>-516</v>
      </c>
      <c r="K187" s="98">
        <v>0</v>
      </c>
      <c r="L187" s="98">
        <v>0</v>
      </c>
      <c r="M187" s="98">
        <v>-516</v>
      </c>
    </row>
    <row r="188" spans="1:13" x14ac:dyDescent="0.3">
      <c r="A188" s="91" t="s">
        <v>1056</v>
      </c>
      <c r="B188" s="91" t="s">
        <v>1057</v>
      </c>
      <c r="D188" s="91" t="s">
        <v>357</v>
      </c>
      <c r="F188" s="98">
        <v>180</v>
      </c>
      <c r="G188" s="98">
        <v>108</v>
      </c>
      <c r="H188" s="98">
        <v>0</v>
      </c>
      <c r="J188" s="98">
        <v>72</v>
      </c>
      <c r="K188" s="98">
        <v>36</v>
      </c>
      <c r="L188" s="98">
        <v>0</v>
      </c>
      <c r="M188" s="98">
        <v>108</v>
      </c>
    </row>
    <row r="189" spans="1:13" x14ac:dyDescent="0.3">
      <c r="A189" s="91" t="s">
        <v>1058</v>
      </c>
      <c r="B189" s="91" t="s">
        <v>1059</v>
      </c>
      <c r="D189" s="91" t="s">
        <v>357</v>
      </c>
      <c r="F189" s="98">
        <v>1536</v>
      </c>
      <c r="G189" s="98">
        <v>684</v>
      </c>
      <c r="H189" s="98">
        <v>0</v>
      </c>
      <c r="J189" s="98">
        <v>852</v>
      </c>
      <c r="K189" s="98">
        <v>0</v>
      </c>
      <c r="L189" s="98">
        <v>0</v>
      </c>
      <c r="M189" s="98">
        <v>852</v>
      </c>
    </row>
    <row r="190" spans="1:13" x14ac:dyDescent="0.3">
      <c r="A190" s="91" t="s">
        <v>1060</v>
      </c>
      <c r="B190" s="91" t="s">
        <v>1061</v>
      </c>
      <c r="D190" s="91" t="s">
        <v>357</v>
      </c>
      <c r="F190" s="98">
        <v>144</v>
      </c>
      <c r="G190" s="98">
        <v>168</v>
      </c>
      <c r="H190" s="98">
        <v>0</v>
      </c>
      <c r="J190" s="98">
        <v>-24</v>
      </c>
      <c r="K190" s="98">
        <v>168</v>
      </c>
      <c r="L190" s="98">
        <v>0</v>
      </c>
      <c r="M190" s="98">
        <v>144</v>
      </c>
    </row>
    <row r="191" spans="1:13" x14ac:dyDescent="0.3">
      <c r="A191" s="91" t="s">
        <v>1062</v>
      </c>
      <c r="B191" s="91" t="s">
        <v>1063</v>
      </c>
      <c r="D191" s="91" t="s">
        <v>357</v>
      </c>
      <c r="F191" s="98">
        <v>552</v>
      </c>
      <c r="G191" s="98">
        <v>24</v>
      </c>
      <c r="H191" s="98">
        <v>0</v>
      </c>
      <c r="J191" s="98">
        <v>528</v>
      </c>
      <c r="K191" s="98">
        <v>0</v>
      </c>
      <c r="L191" s="98">
        <v>0</v>
      </c>
      <c r="M191" s="98">
        <v>528</v>
      </c>
    </row>
    <row r="192" spans="1:13" x14ac:dyDescent="0.3">
      <c r="A192" s="91" t="s">
        <v>1064</v>
      </c>
      <c r="B192" s="91" t="s">
        <v>1065</v>
      </c>
      <c r="D192" s="91" t="s">
        <v>357</v>
      </c>
      <c r="F192" s="98">
        <v>480</v>
      </c>
      <c r="G192" s="98">
        <v>0</v>
      </c>
      <c r="H192" s="98">
        <v>0</v>
      </c>
      <c r="J192" s="98">
        <v>480</v>
      </c>
      <c r="K192" s="98">
        <v>0</v>
      </c>
      <c r="L192" s="98">
        <v>0</v>
      </c>
      <c r="M192" s="98">
        <v>480</v>
      </c>
    </row>
    <row r="193" spans="1:13" x14ac:dyDescent="0.3">
      <c r="A193" s="91" t="s">
        <v>1066</v>
      </c>
      <c r="B193" s="91" t="s">
        <v>1067</v>
      </c>
      <c r="D193" s="91" t="s">
        <v>357</v>
      </c>
      <c r="F193" s="98">
        <v>432</v>
      </c>
      <c r="G193" s="98">
        <v>96</v>
      </c>
      <c r="H193" s="98">
        <v>0</v>
      </c>
      <c r="J193" s="98">
        <v>336</v>
      </c>
      <c r="K193" s="98">
        <v>72</v>
      </c>
      <c r="L193" s="98">
        <v>0</v>
      </c>
      <c r="M193" s="98">
        <v>408</v>
      </c>
    </row>
    <row r="194" spans="1:13" x14ac:dyDescent="0.3">
      <c r="A194" s="91" t="s">
        <v>1068</v>
      </c>
      <c r="B194" s="91" t="s">
        <v>1069</v>
      </c>
      <c r="D194" s="91" t="s">
        <v>357</v>
      </c>
      <c r="F194" s="98">
        <v>480</v>
      </c>
      <c r="G194" s="98">
        <v>120</v>
      </c>
      <c r="H194" s="98">
        <v>0</v>
      </c>
      <c r="J194" s="98">
        <v>360</v>
      </c>
      <c r="K194" s="98">
        <v>144</v>
      </c>
      <c r="L194" s="98">
        <v>0</v>
      </c>
      <c r="M194" s="98">
        <v>504</v>
      </c>
    </row>
    <row r="195" spans="1:13" x14ac:dyDescent="0.3">
      <c r="A195" s="91" t="s">
        <v>1070</v>
      </c>
      <c r="B195" s="91" t="s">
        <v>1071</v>
      </c>
      <c r="D195" s="91" t="s">
        <v>357</v>
      </c>
      <c r="F195" s="98">
        <v>2928</v>
      </c>
      <c r="G195" s="98">
        <v>408</v>
      </c>
      <c r="H195" s="98">
        <v>0</v>
      </c>
      <c r="J195" s="98">
        <v>2520</v>
      </c>
      <c r="K195" s="98">
        <v>0</v>
      </c>
      <c r="L195" s="98">
        <v>0</v>
      </c>
      <c r="M195" s="98">
        <v>2520</v>
      </c>
    </row>
    <row r="196" spans="1:13" x14ac:dyDescent="0.3">
      <c r="A196" s="91" t="s">
        <v>1072</v>
      </c>
      <c r="B196" s="91" t="s">
        <v>1073</v>
      </c>
      <c r="D196" s="91" t="s">
        <v>357</v>
      </c>
      <c r="F196" s="98">
        <v>96</v>
      </c>
      <c r="G196" s="98">
        <v>0</v>
      </c>
      <c r="H196" s="98">
        <v>0</v>
      </c>
      <c r="J196" s="98">
        <v>96</v>
      </c>
      <c r="K196" s="98">
        <v>0</v>
      </c>
      <c r="L196" s="98">
        <v>0</v>
      </c>
      <c r="M196" s="98">
        <v>96</v>
      </c>
    </row>
    <row r="197" spans="1:13" x14ac:dyDescent="0.3">
      <c r="A197" s="91" t="s">
        <v>1074</v>
      </c>
      <c r="B197" s="91" t="s">
        <v>1075</v>
      </c>
      <c r="D197" s="91" t="s">
        <v>357</v>
      </c>
      <c r="F197" s="98">
        <v>132</v>
      </c>
      <c r="G197" s="98">
        <v>60</v>
      </c>
      <c r="H197" s="98">
        <v>0</v>
      </c>
      <c r="J197" s="98">
        <v>72</v>
      </c>
      <c r="K197" s="98">
        <v>144</v>
      </c>
      <c r="L197" s="98">
        <v>0</v>
      </c>
      <c r="M197" s="98">
        <v>216</v>
      </c>
    </row>
    <row r="198" spans="1:13" x14ac:dyDescent="0.3">
      <c r="A198" s="91" t="s">
        <v>1076</v>
      </c>
      <c r="B198" s="91" t="s">
        <v>1077</v>
      </c>
      <c r="D198" s="91" t="s">
        <v>357</v>
      </c>
      <c r="F198" s="98">
        <v>144</v>
      </c>
      <c r="G198" s="98">
        <v>24</v>
      </c>
      <c r="H198" s="98">
        <v>0</v>
      </c>
      <c r="J198" s="98">
        <v>120</v>
      </c>
      <c r="K198" s="98">
        <v>96</v>
      </c>
      <c r="L198" s="98">
        <v>0</v>
      </c>
      <c r="M198" s="98">
        <v>216</v>
      </c>
    </row>
    <row r="199" spans="1:13" x14ac:dyDescent="0.3">
      <c r="A199" s="91" t="s">
        <v>1078</v>
      </c>
      <c r="B199" s="91" t="s">
        <v>1079</v>
      </c>
      <c r="D199" s="91" t="s">
        <v>357</v>
      </c>
      <c r="F199" s="98">
        <v>48</v>
      </c>
      <c r="G199" s="98">
        <v>0</v>
      </c>
      <c r="H199" s="98">
        <v>0</v>
      </c>
      <c r="J199" s="98">
        <v>48</v>
      </c>
      <c r="K199" s="98">
        <v>0</v>
      </c>
      <c r="L199" s="98">
        <v>0</v>
      </c>
      <c r="M199" s="98">
        <v>48</v>
      </c>
    </row>
    <row r="200" spans="1:13" x14ac:dyDescent="0.3">
      <c r="A200" s="91" t="s">
        <v>1080</v>
      </c>
      <c r="B200" s="91" t="s">
        <v>1081</v>
      </c>
      <c r="D200" s="91" t="s">
        <v>357</v>
      </c>
      <c r="F200" s="98">
        <v>756</v>
      </c>
      <c r="G200" s="98">
        <v>84</v>
      </c>
      <c r="H200" s="98">
        <v>0</v>
      </c>
      <c r="J200" s="98">
        <v>672</v>
      </c>
      <c r="K200" s="98">
        <v>120</v>
      </c>
      <c r="L200" s="98">
        <v>0</v>
      </c>
      <c r="M200" s="98">
        <v>792</v>
      </c>
    </row>
    <row r="201" spans="1:13" x14ac:dyDescent="0.3">
      <c r="A201" s="91" t="s">
        <v>1082</v>
      </c>
      <c r="B201" s="91" t="s">
        <v>1083</v>
      </c>
      <c r="D201" s="91" t="s">
        <v>357</v>
      </c>
      <c r="F201" s="98">
        <v>276</v>
      </c>
      <c r="G201" s="98">
        <v>24</v>
      </c>
      <c r="H201" s="98">
        <v>0</v>
      </c>
      <c r="J201" s="98">
        <v>252</v>
      </c>
      <c r="K201" s="98">
        <v>324</v>
      </c>
      <c r="L201" s="98">
        <v>0</v>
      </c>
      <c r="M201" s="98">
        <v>576</v>
      </c>
    </row>
    <row r="202" spans="1:13" x14ac:dyDescent="0.3">
      <c r="A202" s="91" t="s">
        <v>1084</v>
      </c>
      <c r="B202" s="91" t="s">
        <v>1085</v>
      </c>
      <c r="D202" s="91" t="s">
        <v>357</v>
      </c>
      <c r="F202" s="98">
        <v>324</v>
      </c>
      <c r="G202" s="98">
        <v>108</v>
      </c>
      <c r="H202" s="98">
        <v>0</v>
      </c>
      <c r="J202" s="98">
        <v>216</v>
      </c>
      <c r="K202" s="98">
        <v>96</v>
      </c>
      <c r="L202" s="98">
        <v>0</v>
      </c>
      <c r="M202" s="98">
        <v>312</v>
      </c>
    </row>
    <row r="203" spans="1:13" x14ac:dyDescent="0.3">
      <c r="A203" s="91" t="s">
        <v>1086</v>
      </c>
      <c r="B203" s="91" t="s">
        <v>1087</v>
      </c>
      <c r="D203" s="91" t="s">
        <v>357</v>
      </c>
      <c r="F203" s="98">
        <v>312</v>
      </c>
      <c r="G203" s="98">
        <v>0</v>
      </c>
      <c r="H203" s="98">
        <v>0</v>
      </c>
      <c r="J203" s="98">
        <v>312</v>
      </c>
      <c r="K203" s="98">
        <v>0</v>
      </c>
      <c r="L203" s="98">
        <v>0</v>
      </c>
      <c r="M203" s="98">
        <v>312</v>
      </c>
    </row>
    <row r="204" spans="1:13" x14ac:dyDescent="0.3">
      <c r="A204" s="91" t="s">
        <v>1088</v>
      </c>
      <c r="B204" s="91" t="s">
        <v>1089</v>
      </c>
      <c r="D204" s="91" t="s">
        <v>357</v>
      </c>
      <c r="F204" s="98">
        <v>0</v>
      </c>
      <c r="G204" s="98">
        <v>0</v>
      </c>
      <c r="H204" s="98">
        <v>0</v>
      </c>
      <c r="J204" s="98">
        <v>0</v>
      </c>
      <c r="K204" s="98">
        <v>48</v>
      </c>
      <c r="L204" s="98">
        <v>0</v>
      </c>
      <c r="M204" s="98">
        <v>48</v>
      </c>
    </row>
    <row r="205" spans="1:13" x14ac:dyDescent="0.3">
      <c r="A205" s="91" t="s">
        <v>258</v>
      </c>
      <c r="B205" s="91" t="s">
        <v>274</v>
      </c>
      <c r="D205" s="91" t="s">
        <v>357</v>
      </c>
      <c r="F205" s="98">
        <v>0</v>
      </c>
      <c r="G205" s="98">
        <v>48</v>
      </c>
      <c r="H205" s="98">
        <v>0</v>
      </c>
      <c r="J205" s="98">
        <v>-48</v>
      </c>
      <c r="K205" s="98">
        <v>0</v>
      </c>
      <c r="L205" s="98">
        <v>0</v>
      </c>
      <c r="M205" s="98">
        <v>-48</v>
      </c>
    </row>
    <row r="206" spans="1:13" x14ac:dyDescent="0.3">
      <c r="A206" s="91" t="s">
        <v>259</v>
      </c>
      <c r="B206" s="91" t="s">
        <v>275</v>
      </c>
      <c r="D206" s="91" t="s">
        <v>357</v>
      </c>
      <c r="F206" s="98">
        <v>516</v>
      </c>
      <c r="G206" s="98">
        <v>132</v>
      </c>
      <c r="H206" s="98">
        <v>0</v>
      </c>
      <c r="J206" s="98">
        <v>384</v>
      </c>
      <c r="K206" s="98">
        <v>0</v>
      </c>
      <c r="L206" s="98">
        <v>0</v>
      </c>
      <c r="M206" s="98">
        <v>384</v>
      </c>
    </row>
    <row r="207" spans="1:13" x14ac:dyDescent="0.3">
      <c r="A207" s="91" t="s">
        <v>1090</v>
      </c>
      <c r="B207" s="91" t="s">
        <v>1091</v>
      </c>
      <c r="D207" s="91" t="s">
        <v>357</v>
      </c>
      <c r="F207" s="98">
        <v>24</v>
      </c>
      <c r="G207" s="98">
        <v>0</v>
      </c>
      <c r="H207" s="98">
        <v>0</v>
      </c>
      <c r="J207" s="98">
        <v>24</v>
      </c>
      <c r="K207" s="98">
        <v>0</v>
      </c>
      <c r="L207" s="98">
        <v>0</v>
      </c>
      <c r="M207" s="98">
        <v>24</v>
      </c>
    </row>
    <row r="208" spans="1:13" x14ac:dyDescent="0.3">
      <c r="A208" s="91" t="s">
        <v>1092</v>
      </c>
      <c r="B208" s="91" t="s">
        <v>1093</v>
      </c>
      <c r="D208" s="91" t="s">
        <v>357</v>
      </c>
      <c r="F208" s="98">
        <v>0</v>
      </c>
      <c r="G208" s="98">
        <v>8</v>
      </c>
      <c r="H208" s="98">
        <v>0</v>
      </c>
      <c r="J208" s="98">
        <v>-8</v>
      </c>
      <c r="K208" s="98">
        <v>0</v>
      </c>
      <c r="L208" s="98">
        <v>0</v>
      </c>
      <c r="M208" s="98">
        <v>-8</v>
      </c>
    </row>
    <row r="209" spans="1:13" x14ac:dyDescent="0.3">
      <c r="A209" s="91" t="s">
        <v>261</v>
      </c>
      <c r="B209" s="91" t="s">
        <v>277</v>
      </c>
      <c r="D209" s="91" t="s">
        <v>357</v>
      </c>
      <c r="F209" s="98">
        <v>168</v>
      </c>
      <c r="G209" s="98">
        <v>180</v>
      </c>
      <c r="H209" s="98">
        <v>0</v>
      </c>
      <c r="J209" s="98">
        <v>-12</v>
      </c>
      <c r="K209" s="98">
        <v>0</v>
      </c>
      <c r="L209" s="98">
        <v>0</v>
      </c>
      <c r="M209" s="98">
        <v>-12</v>
      </c>
    </row>
    <row r="210" spans="1:13" x14ac:dyDescent="0.3">
      <c r="A210" s="91" t="s">
        <v>1094</v>
      </c>
      <c r="B210" s="91" t="s">
        <v>1095</v>
      </c>
      <c r="D210" s="91" t="s">
        <v>357</v>
      </c>
      <c r="F210" s="98">
        <v>624</v>
      </c>
      <c r="G210" s="98">
        <v>192</v>
      </c>
      <c r="H210" s="98">
        <v>0</v>
      </c>
      <c r="J210" s="98">
        <v>432</v>
      </c>
      <c r="K210" s="98">
        <v>312</v>
      </c>
      <c r="L210" s="98">
        <v>0</v>
      </c>
      <c r="M210" s="98">
        <v>744</v>
      </c>
    </row>
    <row r="211" spans="1:13" x14ac:dyDescent="0.3">
      <c r="A211" s="91" t="s">
        <v>262</v>
      </c>
      <c r="B211" s="91" t="s">
        <v>173</v>
      </c>
      <c r="D211" s="91" t="s">
        <v>357</v>
      </c>
      <c r="F211" s="98">
        <v>516</v>
      </c>
      <c r="G211" s="98">
        <v>24</v>
      </c>
      <c r="H211" s="98">
        <v>0</v>
      </c>
      <c r="J211" s="98">
        <v>492</v>
      </c>
      <c r="K211" s="98">
        <v>0</v>
      </c>
      <c r="L211" s="98">
        <v>0</v>
      </c>
      <c r="M211" s="98">
        <v>492</v>
      </c>
    </row>
    <row r="212" spans="1:13" x14ac:dyDescent="0.3">
      <c r="A212" s="91" t="s">
        <v>1096</v>
      </c>
      <c r="B212" s="91" t="s">
        <v>1097</v>
      </c>
      <c r="D212" s="91" t="s">
        <v>357</v>
      </c>
      <c r="F212" s="98">
        <v>54</v>
      </c>
      <c r="G212" s="98">
        <v>6</v>
      </c>
      <c r="H212" s="98">
        <v>0</v>
      </c>
      <c r="J212" s="98">
        <v>48</v>
      </c>
      <c r="K212" s="98">
        <v>816</v>
      </c>
      <c r="L212" s="98">
        <v>0</v>
      </c>
      <c r="M212" s="98">
        <v>864</v>
      </c>
    </row>
    <row r="213" spans="1:13" x14ac:dyDescent="0.3">
      <c r="A213" s="91" t="s">
        <v>1098</v>
      </c>
      <c r="B213" s="91" t="s">
        <v>1099</v>
      </c>
      <c r="D213" s="91" t="s">
        <v>357</v>
      </c>
      <c r="F213" s="98">
        <v>900</v>
      </c>
      <c r="G213" s="98">
        <v>372</v>
      </c>
      <c r="H213" s="98">
        <v>0</v>
      </c>
      <c r="J213" s="98">
        <v>528</v>
      </c>
      <c r="K213" s="98">
        <v>492</v>
      </c>
      <c r="L213" s="98">
        <v>0</v>
      </c>
      <c r="M213" s="98">
        <v>1020</v>
      </c>
    </row>
    <row r="214" spans="1:13" x14ac:dyDescent="0.3">
      <c r="A214" s="91" t="s">
        <v>1100</v>
      </c>
      <c r="B214" s="91" t="s">
        <v>1101</v>
      </c>
      <c r="D214" s="91" t="s">
        <v>357</v>
      </c>
      <c r="F214" s="98">
        <v>444</v>
      </c>
      <c r="G214" s="98">
        <v>96</v>
      </c>
      <c r="H214" s="98">
        <v>0</v>
      </c>
      <c r="J214" s="98">
        <v>348</v>
      </c>
      <c r="K214" s="98">
        <v>216</v>
      </c>
      <c r="L214" s="98">
        <v>0</v>
      </c>
      <c r="M214" s="98">
        <v>564</v>
      </c>
    </row>
    <row r="215" spans="1:13" x14ac:dyDescent="0.3">
      <c r="A215" s="91" t="s">
        <v>1102</v>
      </c>
      <c r="B215" s="91" t="s">
        <v>1103</v>
      </c>
      <c r="D215" s="91" t="s">
        <v>357</v>
      </c>
      <c r="F215" s="98">
        <v>0</v>
      </c>
      <c r="G215" s="98">
        <v>0</v>
      </c>
      <c r="H215" s="98">
        <v>0</v>
      </c>
      <c r="J215" s="98">
        <v>0</v>
      </c>
      <c r="K215" s="98">
        <v>864</v>
      </c>
      <c r="L215" s="98">
        <v>0</v>
      </c>
      <c r="M215" s="98">
        <v>864</v>
      </c>
    </row>
    <row r="216" spans="1:13" x14ac:dyDescent="0.3">
      <c r="A216" s="91" t="s">
        <v>1104</v>
      </c>
      <c r="B216" s="91" t="s">
        <v>1105</v>
      </c>
      <c r="D216" s="91" t="s">
        <v>357</v>
      </c>
      <c r="F216" s="98">
        <v>0</v>
      </c>
      <c r="G216" s="98">
        <v>0</v>
      </c>
      <c r="H216" s="98">
        <v>0</v>
      </c>
      <c r="J216" s="98">
        <v>0</v>
      </c>
      <c r="K216" s="98">
        <v>816</v>
      </c>
      <c r="L216" s="98">
        <v>0</v>
      </c>
      <c r="M216" s="98">
        <v>816</v>
      </c>
    </row>
    <row r="217" spans="1:13" x14ac:dyDescent="0.3">
      <c r="A217" s="91" t="s">
        <v>1106</v>
      </c>
      <c r="B217" s="91" t="s">
        <v>1107</v>
      </c>
      <c r="D217" s="91" t="s">
        <v>357</v>
      </c>
      <c r="F217" s="98">
        <v>180</v>
      </c>
      <c r="G217" s="98">
        <v>0</v>
      </c>
      <c r="H217" s="98">
        <v>0</v>
      </c>
      <c r="J217" s="98">
        <v>180</v>
      </c>
      <c r="K217" s="98">
        <v>0</v>
      </c>
      <c r="L217" s="98">
        <v>0</v>
      </c>
      <c r="M217" s="98">
        <v>180</v>
      </c>
    </row>
    <row r="218" spans="1:13" x14ac:dyDescent="0.3">
      <c r="A218" s="91" t="s">
        <v>1108</v>
      </c>
      <c r="B218" s="91" t="s">
        <v>1109</v>
      </c>
      <c r="D218" s="91" t="s">
        <v>357</v>
      </c>
      <c r="F218" s="98">
        <v>564</v>
      </c>
      <c r="G218" s="98">
        <v>96</v>
      </c>
      <c r="H218" s="98">
        <v>0</v>
      </c>
      <c r="J218" s="98">
        <v>468</v>
      </c>
      <c r="K218" s="98">
        <v>240</v>
      </c>
      <c r="L218" s="98">
        <v>0</v>
      </c>
      <c r="M218" s="98">
        <v>708</v>
      </c>
    </row>
    <row r="219" spans="1:13" x14ac:dyDescent="0.3">
      <c r="A219" s="91" t="s">
        <v>1110</v>
      </c>
      <c r="B219" s="91" t="s">
        <v>1111</v>
      </c>
      <c r="D219" s="91" t="s">
        <v>357</v>
      </c>
      <c r="F219" s="98">
        <v>624</v>
      </c>
      <c r="G219" s="98">
        <v>144</v>
      </c>
      <c r="H219" s="98">
        <v>0</v>
      </c>
      <c r="J219" s="98">
        <v>480</v>
      </c>
      <c r="K219" s="98">
        <v>0</v>
      </c>
      <c r="L219" s="98">
        <v>0</v>
      </c>
      <c r="M219" s="98">
        <v>480</v>
      </c>
    </row>
    <row r="220" spans="1:13" x14ac:dyDescent="0.3">
      <c r="A220" s="91" t="s">
        <v>1112</v>
      </c>
      <c r="B220" s="91" t="s">
        <v>1113</v>
      </c>
      <c r="D220" s="91" t="s">
        <v>357</v>
      </c>
      <c r="F220" s="98">
        <v>12</v>
      </c>
      <c r="G220" s="98">
        <v>84</v>
      </c>
      <c r="H220" s="98">
        <v>0</v>
      </c>
      <c r="J220" s="98">
        <v>-72</v>
      </c>
      <c r="K220" s="98">
        <v>444</v>
      </c>
      <c r="L220" s="98">
        <v>0</v>
      </c>
      <c r="M220" s="98">
        <v>372</v>
      </c>
    </row>
    <row r="221" spans="1:13" x14ac:dyDescent="0.3">
      <c r="A221" s="91" t="s">
        <v>1114</v>
      </c>
      <c r="B221" s="91" t="s">
        <v>1115</v>
      </c>
      <c r="D221" s="91" t="s">
        <v>357</v>
      </c>
      <c r="F221" s="98">
        <v>336</v>
      </c>
      <c r="G221" s="98">
        <v>108</v>
      </c>
      <c r="H221" s="98">
        <v>0</v>
      </c>
      <c r="J221" s="98">
        <v>228</v>
      </c>
      <c r="K221" s="98">
        <v>228</v>
      </c>
      <c r="L221" s="98">
        <v>0</v>
      </c>
      <c r="M221" s="98">
        <v>456</v>
      </c>
    </row>
    <row r="222" spans="1:13" x14ac:dyDescent="0.3">
      <c r="A222" s="91" t="s">
        <v>1116</v>
      </c>
      <c r="B222" s="91" t="s">
        <v>1117</v>
      </c>
      <c r="D222" s="91" t="s">
        <v>357</v>
      </c>
      <c r="F222" s="98">
        <v>324</v>
      </c>
      <c r="G222" s="98">
        <v>216</v>
      </c>
      <c r="H222" s="98">
        <v>0</v>
      </c>
      <c r="J222" s="98">
        <v>108</v>
      </c>
      <c r="K222" s="98">
        <v>216</v>
      </c>
      <c r="L222" s="98">
        <v>0</v>
      </c>
      <c r="M222" s="98">
        <v>324</v>
      </c>
    </row>
    <row r="223" spans="1:13" x14ac:dyDescent="0.3">
      <c r="A223" s="91" t="s">
        <v>1118</v>
      </c>
      <c r="B223" s="91" t="s">
        <v>197</v>
      </c>
      <c r="D223" s="91" t="s">
        <v>357</v>
      </c>
      <c r="F223" s="98">
        <v>168</v>
      </c>
      <c r="G223" s="98">
        <v>0</v>
      </c>
      <c r="H223" s="98">
        <v>0</v>
      </c>
      <c r="J223" s="98">
        <v>168</v>
      </c>
      <c r="K223" s="98">
        <v>0</v>
      </c>
      <c r="L223" s="98">
        <v>0</v>
      </c>
      <c r="M223" s="98">
        <v>168</v>
      </c>
    </row>
    <row r="224" spans="1:13" x14ac:dyDescent="0.3">
      <c r="A224" s="91" t="s">
        <v>1119</v>
      </c>
      <c r="B224" s="91" t="s">
        <v>198</v>
      </c>
      <c r="D224" s="91" t="s">
        <v>357</v>
      </c>
      <c r="F224" s="98">
        <v>168</v>
      </c>
      <c r="G224" s="98">
        <v>0</v>
      </c>
      <c r="H224" s="98">
        <v>0</v>
      </c>
      <c r="J224" s="98">
        <v>168</v>
      </c>
      <c r="K224" s="98">
        <v>0</v>
      </c>
      <c r="L224" s="98">
        <v>0</v>
      </c>
      <c r="M224" s="98">
        <v>168</v>
      </c>
    </row>
    <row r="225" spans="1:13" x14ac:dyDescent="0.3">
      <c r="A225" s="91" t="s">
        <v>1120</v>
      </c>
      <c r="B225" s="91" t="s">
        <v>199</v>
      </c>
      <c r="D225" s="91" t="s">
        <v>357</v>
      </c>
      <c r="F225" s="98">
        <v>168</v>
      </c>
      <c r="G225" s="98">
        <v>0</v>
      </c>
      <c r="H225" s="98">
        <v>0</v>
      </c>
      <c r="J225" s="98">
        <v>168</v>
      </c>
      <c r="K225" s="98">
        <v>0</v>
      </c>
      <c r="L225" s="98">
        <v>0</v>
      </c>
      <c r="M225" s="98">
        <v>168</v>
      </c>
    </row>
    <row r="226" spans="1:13" x14ac:dyDescent="0.3">
      <c r="A226" s="91" t="s">
        <v>1121</v>
      </c>
      <c r="B226" s="91" t="s">
        <v>200</v>
      </c>
      <c r="D226" s="91" t="s">
        <v>357</v>
      </c>
      <c r="F226" s="98">
        <v>168</v>
      </c>
      <c r="G226" s="98">
        <v>0</v>
      </c>
      <c r="H226" s="98">
        <v>0</v>
      </c>
      <c r="J226" s="98">
        <v>168</v>
      </c>
      <c r="K226" s="98">
        <v>0</v>
      </c>
      <c r="L226" s="98">
        <v>0</v>
      </c>
      <c r="M226" s="98">
        <v>168</v>
      </c>
    </row>
    <row r="227" spans="1:13" x14ac:dyDescent="0.3">
      <c r="A227" s="91" t="s">
        <v>1122</v>
      </c>
      <c r="B227" s="91" t="s">
        <v>1123</v>
      </c>
      <c r="D227" s="91" t="s">
        <v>357</v>
      </c>
      <c r="F227" s="98">
        <v>168</v>
      </c>
      <c r="G227" s="98">
        <v>0</v>
      </c>
      <c r="H227" s="98">
        <v>0</v>
      </c>
      <c r="J227" s="98">
        <v>168</v>
      </c>
      <c r="K227" s="98">
        <v>0</v>
      </c>
      <c r="L227" s="98">
        <v>0</v>
      </c>
      <c r="M227" s="98">
        <v>168</v>
      </c>
    </row>
    <row r="228" spans="1:13" x14ac:dyDescent="0.3">
      <c r="A228" s="91" t="s">
        <v>1124</v>
      </c>
      <c r="B228" s="91" t="s">
        <v>204</v>
      </c>
      <c r="D228" s="91" t="s">
        <v>357</v>
      </c>
      <c r="F228" s="98">
        <v>168</v>
      </c>
      <c r="G228" s="98">
        <v>0</v>
      </c>
      <c r="H228" s="98">
        <v>0</v>
      </c>
      <c r="J228" s="98">
        <v>168</v>
      </c>
      <c r="K228" s="98">
        <v>0</v>
      </c>
      <c r="L228" s="98">
        <v>0</v>
      </c>
      <c r="M228" s="98">
        <v>168</v>
      </c>
    </row>
    <row r="229" spans="1:13" x14ac:dyDescent="0.3">
      <c r="A229" s="91" t="s">
        <v>1125</v>
      </c>
      <c r="B229" s="91" t="s">
        <v>1126</v>
      </c>
      <c r="D229" s="91" t="s">
        <v>357</v>
      </c>
      <c r="F229" s="98">
        <v>168</v>
      </c>
      <c r="G229" s="98">
        <v>0</v>
      </c>
      <c r="H229" s="98">
        <v>0</v>
      </c>
      <c r="J229" s="98">
        <v>168</v>
      </c>
      <c r="K229" s="98">
        <v>0</v>
      </c>
      <c r="L229" s="98">
        <v>0</v>
      </c>
      <c r="M229" s="98">
        <v>168</v>
      </c>
    </row>
    <row r="230" spans="1:13" x14ac:dyDescent="0.3">
      <c r="A230" s="91" t="s">
        <v>1127</v>
      </c>
      <c r="B230" s="91" t="s">
        <v>713</v>
      </c>
      <c r="D230" s="91" t="s">
        <v>357</v>
      </c>
      <c r="F230" s="98">
        <v>0</v>
      </c>
      <c r="G230" s="98">
        <v>24</v>
      </c>
      <c r="H230" s="98">
        <v>0</v>
      </c>
      <c r="J230" s="98">
        <v>-24</v>
      </c>
      <c r="K230" s="98">
        <v>0</v>
      </c>
      <c r="L230" s="98">
        <v>0</v>
      </c>
      <c r="M230" s="98">
        <v>-24</v>
      </c>
    </row>
    <row r="231" spans="1:13" x14ac:dyDescent="0.3">
      <c r="A231" s="91" t="s">
        <v>1128</v>
      </c>
      <c r="B231" s="91" t="s">
        <v>217</v>
      </c>
      <c r="D231" s="91" t="s">
        <v>357</v>
      </c>
      <c r="F231" s="98">
        <v>480</v>
      </c>
      <c r="G231" s="98">
        <v>0</v>
      </c>
      <c r="H231" s="98">
        <v>0</v>
      </c>
      <c r="J231" s="98">
        <v>480</v>
      </c>
      <c r="K231" s="98">
        <v>0</v>
      </c>
      <c r="L231" s="98">
        <v>0</v>
      </c>
      <c r="M231" s="98">
        <v>480</v>
      </c>
    </row>
    <row r="232" spans="1:13" x14ac:dyDescent="0.3">
      <c r="A232" s="91" t="s">
        <v>1129</v>
      </c>
      <c r="B232" s="91" t="s">
        <v>218</v>
      </c>
      <c r="D232" s="91" t="s">
        <v>357</v>
      </c>
      <c r="F232" s="98">
        <v>480</v>
      </c>
      <c r="G232" s="98">
        <v>24</v>
      </c>
      <c r="H232" s="98">
        <v>0</v>
      </c>
      <c r="J232" s="98">
        <v>456</v>
      </c>
      <c r="K232" s="98">
        <v>0</v>
      </c>
      <c r="L232" s="98">
        <v>0</v>
      </c>
      <c r="M232" s="98">
        <v>456</v>
      </c>
    </row>
    <row r="233" spans="1:13" x14ac:dyDescent="0.3">
      <c r="A233" s="91" t="s">
        <v>1130</v>
      </c>
      <c r="B233" s="91" t="s">
        <v>219</v>
      </c>
      <c r="D233" s="91" t="s">
        <v>357</v>
      </c>
      <c r="F233" s="98">
        <v>444</v>
      </c>
      <c r="G233" s="98">
        <v>24</v>
      </c>
      <c r="H233" s="98">
        <v>0</v>
      </c>
      <c r="J233" s="98">
        <v>420</v>
      </c>
      <c r="K233" s="98">
        <v>0</v>
      </c>
      <c r="L233" s="98">
        <v>0</v>
      </c>
      <c r="M233" s="98">
        <v>420</v>
      </c>
    </row>
    <row r="234" spans="1:13" x14ac:dyDescent="0.3">
      <c r="A234" s="91" t="s">
        <v>1131</v>
      </c>
      <c r="B234" s="91" t="s">
        <v>1132</v>
      </c>
      <c r="D234" s="91" t="s">
        <v>357</v>
      </c>
      <c r="F234" s="98">
        <v>480</v>
      </c>
      <c r="G234" s="98">
        <v>24</v>
      </c>
      <c r="H234" s="98">
        <v>0</v>
      </c>
      <c r="J234" s="98">
        <v>456</v>
      </c>
      <c r="K234" s="98">
        <v>0</v>
      </c>
      <c r="L234" s="98">
        <v>0</v>
      </c>
      <c r="M234" s="98">
        <v>456</v>
      </c>
    </row>
    <row r="235" spans="1:13" x14ac:dyDescent="0.3">
      <c r="A235" s="91" t="s">
        <v>1133</v>
      </c>
      <c r="B235" s="91" t="s">
        <v>223</v>
      </c>
      <c r="D235" s="91" t="s">
        <v>357</v>
      </c>
      <c r="F235" s="98">
        <v>408</v>
      </c>
      <c r="G235" s="98">
        <v>0</v>
      </c>
      <c r="H235" s="98">
        <v>0</v>
      </c>
      <c r="J235" s="98">
        <v>408</v>
      </c>
      <c r="K235" s="98">
        <v>0</v>
      </c>
      <c r="L235" s="98">
        <v>0</v>
      </c>
      <c r="M235" s="98">
        <v>408</v>
      </c>
    </row>
    <row r="236" spans="1:13" x14ac:dyDescent="0.3">
      <c r="A236" s="91" t="s">
        <v>1134</v>
      </c>
      <c r="B236" s="91" t="s">
        <v>224</v>
      </c>
      <c r="D236" s="91" t="s">
        <v>357</v>
      </c>
      <c r="F236" s="98">
        <v>252</v>
      </c>
      <c r="G236" s="98">
        <v>0</v>
      </c>
      <c r="H236" s="98">
        <v>0</v>
      </c>
      <c r="J236" s="98">
        <v>252</v>
      </c>
      <c r="K236" s="98">
        <v>0</v>
      </c>
      <c r="L236" s="98">
        <v>0</v>
      </c>
      <c r="M236" s="98">
        <v>252</v>
      </c>
    </row>
    <row r="237" spans="1:13" x14ac:dyDescent="0.3">
      <c r="A237" s="91" t="s">
        <v>1135</v>
      </c>
      <c r="B237" s="91" t="s">
        <v>226</v>
      </c>
      <c r="D237" s="91" t="s">
        <v>357</v>
      </c>
      <c r="F237" s="98">
        <v>0</v>
      </c>
      <c r="G237" s="98">
        <v>48</v>
      </c>
      <c r="H237" s="98">
        <v>0</v>
      </c>
      <c r="J237" s="98">
        <v>-48</v>
      </c>
      <c r="K237" s="98">
        <v>0</v>
      </c>
      <c r="L237" s="98">
        <v>0</v>
      </c>
      <c r="M237" s="98">
        <v>-48</v>
      </c>
    </row>
    <row r="238" spans="1:13" x14ac:dyDescent="0.3">
      <c r="A238" s="91" t="s">
        <v>1136</v>
      </c>
      <c r="B238" s="91" t="s">
        <v>228</v>
      </c>
      <c r="D238" s="91" t="s">
        <v>357</v>
      </c>
      <c r="F238" s="98">
        <v>948</v>
      </c>
      <c r="G238" s="98">
        <v>0</v>
      </c>
      <c r="H238" s="98">
        <v>0</v>
      </c>
      <c r="J238" s="98">
        <v>948</v>
      </c>
      <c r="K238" s="98">
        <v>0</v>
      </c>
      <c r="L238" s="98">
        <v>0</v>
      </c>
      <c r="M238" s="98">
        <v>948</v>
      </c>
    </row>
    <row r="239" spans="1:13" x14ac:dyDescent="0.3">
      <c r="A239" s="91" t="s">
        <v>1137</v>
      </c>
      <c r="B239" s="91" t="s">
        <v>229</v>
      </c>
      <c r="D239" s="91" t="s">
        <v>357</v>
      </c>
      <c r="F239" s="98">
        <v>948</v>
      </c>
      <c r="G239" s="98">
        <v>0</v>
      </c>
      <c r="H239" s="98">
        <v>0</v>
      </c>
      <c r="J239" s="98">
        <v>948</v>
      </c>
      <c r="K239" s="98">
        <v>0</v>
      </c>
      <c r="L239" s="98">
        <v>0</v>
      </c>
      <c r="M239" s="98">
        <v>948</v>
      </c>
    </row>
    <row r="240" spans="1:13" x14ac:dyDescent="0.3">
      <c r="A240" s="91" t="s">
        <v>1138</v>
      </c>
      <c r="B240" s="91" t="s">
        <v>230</v>
      </c>
      <c r="D240" s="91" t="s">
        <v>357</v>
      </c>
      <c r="F240" s="98">
        <v>948</v>
      </c>
      <c r="G240" s="98">
        <v>0</v>
      </c>
      <c r="H240" s="98">
        <v>0</v>
      </c>
      <c r="J240" s="98">
        <v>948</v>
      </c>
      <c r="K240" s="98">
        <v>0</v>
      </c>
      <c r="L240" s="98">
        <v>0</v>
      </c>
      <c r="M240" s="98">
        <v>948</v>
      </c>
    </row>
    <row r="241" spans="1:14" x14ac:dyDescent="0.3">
      <c r="A241" s="92" t="s">
        <v>720</v>
      </c>
      <c r="B241" s="91" t="s">
        <v>721</v>
      </c>
      <c r="C241" s="94">
        <v>46205</v>
      </c>
      <c r="D241" s="95">
        <v>36494.693819444445</v>
      </c>
      <c r="K241" s="91" t="s">
        <v>722</v>
      </c>
      <c r="L241" s="96">
        <v>1</v>
      </c>
      <c r="M241" s="91" t="s">
        <v>723</v>
      </c>
      <c r="N241" s="96">
        <v>1</v>
      </c>
    </row>
    <row r="242" spans="1:14" ht="12.75" customHeight="1" x14ac:dyDescent="0.3"/>
    <row r="243" spans="1:14" ht="12.75" customHeight="1" x14ac:dyDescent="0.3"/>
    <row r="244" spans="1:14" ht="12.75" customHeight="1" x14ac:dyDescent="0.3"/>
    <row r="245" spans="1:14" ht="12.75" customHeight="1" x14ac:dyDescent="0.3"/>
    <row r="246" spans="1:14" ht="12.75" customHeight="1" x14ac:dyDescent="0.3"/>
    <row r="247" spans="1:14" ht="12.75" customHeight="1" x14ac:dyDescent="0.3"/>
    <row r="248" spans="1:14" ht="12.75" customHeight="1" x14ac:dyDescent="0.3"/>
    <row r="249" spans="1:14" ht="12.75" customHeight="1" x14ac:dyDescent="0.3"/>
    <row r="250" spans="1:14" ht="12.75" customHeight="1" x14ac:dyDescent="0.3"/>
    <row r="251" spans="1:14" ht="12.75" customHeight="1" x14ac:dyDescent="0.3"/>
    <row r="252" spans="1:14" ht="12.75" customHeight="1" x14ac:dyDescent="0.3"/>
    <row r="253" spans="1:14" ht="12.75" customHeight="1" x14ac:dyDescent="0.3"/>
    <row r="254" spans="1:14" ht="12.75" customHeight="1" x14ac:dyDescent="0.3"/>
    <row r="255" spans="1:14" ht="12.75" customHeight="1" x14ac:dyDescent="0.3"/>
    <row r="256" spans="1:14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</sheetData>
  <autoFilter ref="A1:N284" xr:uid="{A9B5F6C3-32EA-4FF0-9B16-BCB7431AAC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Quiebres</vt:lpstr>
      <vt:lpstr>Todos</vt:lpstr>
      <vt:lpstr>Stock Loeke</vt:lpstr>
      <vt:lpstr>Stock Chef</vt:lpstr>
      <vt:lpstr>Quiebres!Títulos_a_imprimir</vt:lpstr>
      <vt:lpstr>Todos!Títulos_a_imprimir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Marianela Becker</dc:creator>
  <cp:lastModifiedBy>Loekemeyer Hnos</cp:lastModifiedBy>
  <cp:lastPrinted>2026-07-01T17:30:49Z</cp:lastPrinted>
  <dcterms:created xsi:type="dcterms:W3CDTF">2026-06-30T17:17:36Z</dcterms:created>
  <dcterms:modified xsi:type="dcterms:W3CDTF">2026-07-14T15:51:59Z</dcterms:modified>
</cp:coreProperties>
</file>